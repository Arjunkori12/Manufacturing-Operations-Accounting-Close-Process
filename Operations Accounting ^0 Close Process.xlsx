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2173900fa0e546/Desktop/"/>
    </mc:Choice>
  </mc:AlternateContent>
  <xr:revisionPtr revIDLastSave="0" documentId="8_{0883DA9F-2804-4404-A67F-75534AC37D4E}" xr6:coauthVersionLast="47" xr6:coauthVersionMax="47" xr10:uidLastSave="{00000000-0000-0000-0000-000000000000}"/>
  <bookViews>
    <workbookView xWindow="24" yWindow="24" windowWidth="23016" windowHeight="12216" xr2:uid="{A140E93B-3AF5-4FD8-8CAA-575426A54DD7}"/>
  </bookViews>
  <sheets>
    <sheet name="Journal Entries" sheetId="1" r:id="rId1"/>
    <sheet name=" BANK RECONCILIATION" sheetId="2" r:id="rId2"/>
    <sheet name="INVENTORY AGING &amp; STOCKROOM RES" sheetId="3" r:id="rId3"/>
    <sheet name="GRIR &amp; AP RECONCILIATION" sheetId="4" r:id="rId4"/>
    <sheet name=" FREIGHT EXPENSE TRACKING" sheetId="5" r:id="rId5"/>
    <sheet name="WEEKLY SPENDING REPORT" sheetId="6" r:id="rId6"/>
    <sheet name=" BUDGET VS ACTUAL" sheetId="7" r:id="rId7"/>
    <sheet name="QUARTERLY FORECAST" sheetId="8" r:id="rId8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4" l="1"/>
  <c r="D23" i="4"/>
  <c r="D24" i="4"/>
  <c r="D25" i="4"/>
  <c r="D21" i="4"/>
  <c r="C25" i="4"/>
  <c r="B31" i="8"/>
  <c r="B28" i="8"/>
  <c r="B27" i="8"/>
  <c r="B24" i="8"/>
  <c r="B20" i="8"/>
  <c r="E15" i="8"/>
  <c r="E16" i="8"/>
  <c r="E17" i="8"/>
  <c r="E14" i="8"/>
  <c r="C17" i="8"/>
  <c r="D17" i="8"/>
  <c r="B17" i="8"/>
  <c r="B15" i="8"/>
  <c r="C14" i="8"/>
  <c r="B14" i="8"/>
  <c r="D14" i="8"/>
  <c r="C15" i="8"/>
  <c r="D15" i="8"/>
  <c r="B16" i="8"/>
  <c r="C16" i="8"/>
  <c r="D16" i="8"/>
  <c r="D5" i="8"/>
  <c r="D6" i="8"/>
  <c r="D7" i="8"/>
  <c r="D8" i="8"/>
  <c r="D9" i="8"/>
  <c r="D10" i="8"/>
  <c r="D17" i="7"/>
  <c r="D18" i="7"/>
  <c r="D16" i="7"/>
  <c r="C18" i="7"/>
  <c r="C17" i="7"/>
  <c r="B16" i="7"/>
  <c r="A17" i="7"/>
  <c r="A16" i="7"/>
  <c r="H13" i="7"/>
  <c r="G6" i="7"/>
  <c r="H6" i="7" s="1"/>
  <c r="G7" i="7"/>
  <c r="H7" i="7" s="1"/>
  <c r="G8" i="7"/>
  <c r="H8" i="7" s="1"/>
  <c r="G9" i="7"/>
  <c r="H9" i="7" s="1"/>
  <c r="F6" i="7"/>
  <c r="F7" i="7"/>
  <c r="F8" i="7"/>
  <c r="F9" i="7"/>
  <c r="F10" i="7"/>
  <c r="G10" i="7" s="1"/>
  <c r="H10" i="7" s="1"/>
  <c r="F11" i="7"/>
  <c r="G11" i="7" s="1"/>
  <c r="H11" i="7" s="1"/>
  <c r="F12" i="7"/>
  <c r="G12" i="7" s="1"/>
  <c r="H12" i="7" s="1"/>
  <c r="F13" i="7"/>
  <c r="G13" i="7" s="1"/>
  <c r="D13" i="7"/>
  <c r="E13" i="7"/>
  <c r="C13" i="7"/>
  <c r="F5" i="7"/>
  <c r="G5" i="7" s="1"/>
  <c r="H5" i="7" s="1"/>
  <c r="B18" i="6"/>
  <c r="B17" i="6"/>
  <c r="B16" i="6"/>
  <c r="B15" i="6"/>
  <c r="B14" i="6"/>
  <c r="C11" i="6"/>
  <c r="D11" i="6"/>
  <c r="E11" i="6"/>
  <c r="F11" i="6"/>
  <c r="G11" i="6"/>
  <c r="H11" i="6"/>
  <c r="B11" i="6"/>
  <c r="F5" i="6"/>
  <c r="H5" i="6" s="1"/>
  <c r="F6" i="6"/>
  <c r="H6" i="6" s="1"/>
  <c r="F7" i="6"/>
  <c r="H7" i="6" s="1"/>
  <c r="F8" i="6"/>
  <c r="H8" i="6" s="1"/>
  <c r="F9" i="6"/>
  <c r="H9" i="6" s="1"/>
  <c r="F10" i="6"/>
  <c r="H10" i="6" s="1"/>
  <c r="F4" i="6"/>
  <c r="B25" i="5"/>
  <c r="B24" i="5"/>
  <c r="B23" i="5"/>
  <c r="B22" i="5"/>
  <c r="D19" i="5"/>
  <c r="D18" i="5"/>
  <c r="D17" i="5"/>
  <c r="D16" i="5"/>
  <c r="C16" i="5"/>
  <c r="C17" i="5"/>
  <c r="B16" i="5"/>
  <c r="B17" i="5"/>
  <c r="B18" i="5"/>
  <c r="B19" i="5"/>
  <c r="G8" i="5"/>
  <c r="G9" i="5"/>
  <c r="G10" i="5"/>
  <c r="G11" i="5"/>
  <c r="G12" i="5"/>
  <c r="G7" i="5"/>
  <c r="B18" i="4"/>
  <c r="G5" i="4"/>
  <c r="G6" i="4"/>
  <c r="G7" i="4"/>
  <c r="B14" i="4" s="1"/>
  <c r="G8" i="4"/>
  <c r="G9" i="4"/>
  <c r="G10" i="4"/>
  <c r="B16" i="3"/>
  <c r="B15" i="3"/>
  <c r="B13" i="3"/>
  <c r="B14" i="3"/>
  <c r="E5" i="3"/>
  <c r="H5" i="3"/>
  <c r="E6" i="3"/>
  <c r="H6" i="3"/>
  <c r="E7" i="3"/>
  <c r="H7" i="3" s="1"/>
  <c r="E8" i="3"/>
  <c r="H8" i="3"/>
  <c r="E9" i="3"/>
  <c r="H9" i="3"/>
  <c r="E10" i="3"/>
  <c r="H10" i="3"/>
  <c r="B3" i="2"/>
  <c r="B17" i="2" s="1"/>
  <c r="B45" i="2"/>
  <c r="B46" i="2"/>
  <c r="B47" i="2"/>
  <c r="B39" i="2"/>
  <c r="B41" i="2"/>
  <c r="B40" i="2"/>
  <c r="C37" i="2"/>
  <c r="B19" i="2"/>
  <c r="B18" i="2"/>
  <c r="B20" i="1"/>
  <c r="B19" i="1"/>
  <c r="E15" i="1"/>
  <c r="F14" i="1"/>
  <c r="F12" i="1"/>
  <c r="F10" i="1"/>
  <c r="F8" i="1"/>
  <c r="F6" i="1"/>
  <c r="F15" i="1" s="1"/>
  <c r="B13" i="6" l="1"/>
  <c r="H4" i="6"/>
  <c r="B15" i="5"/>
  <c r="D15" i="5"/>
  <c r="C15" i="5"/>
  <c r="B13" i="4"/>
  <c r="B15" i="4" s="1"/>
  <c r="B17" i="4" s="1"/>
  <c r="C51" i="2"/>
  <c r="B20" i="2"/>
  <c r="B22" i="2" s="1"/>
  <c r="B23" i="2" s="1"/>
  <c r="C42" i="2"/>
  <c r="C53" i="2" s="1"/>
  <c r="B21" i="1"/>
  <c r="B22" i="1" s="1"/>
  <c r="C18" i="5" l="1"/>
  <c r="C19" i="5"/>
  <c r="B25" i="4" l="1"/>
</calcChain>
</file>

<file path=xl/sharedStrings.xml><?xml version="1.0" encoding="utf-8"?>
<sst xmlns="http://schemas.openxmlformats.org/spreadsheetml/2006/main" count="351" uniqueCount="271">
  <si>
    <t>MONTH-END JOURNAL ENTRIES - STEEL MANUFACTURING FACILITY</t>
  </si>
  <si>
    <t>Period:</t>
  </si>
  <si>
    <t>Date</t>
  </si>
  <si>
    <t>Journal Entry #</t>
  </si>
  <si>
    <t>GL Account</t>
  </si>
  <si>
    <t>Account Description</t>
  </si>
  <si>
    <t>Debit Amount</t>
  </si>
  <si>
    <t>Credit Amount</t>
  </si>
  <si>
    <t>Reference/Memo</t>
  </si>
  <si>
    <t>Status</t>
  </si>
  <si>
    <t>12/31/2024</t>
  </si>
  <si>
    <t>JE-2401</t>
  </si>
  <si>
    <t>Raw Material Expense</t>
  </si>
  <si>
    <t>Month-end RM accrual</t>
  </si>
  <si>
    <t>Posted</t>
  </si>
  <si>
    <t>Raw Materials Inventory</t>
  </si>
  <si>
    <t>JE-2402</t>
  </si>
  <si>
    <t>Labor Expense</t>
  </si>
  <si>
    <t>Accrued wages</t>
  </si>
  <si>
    <t>Accrued Payroll</t>
  </si>
  <si>
    <t>JE-2403</t>
  </si>
  <si>
    <t>Manufacturing Overhead</t>
  </si>
  <si>
    <t>Utilities accrual</t>
  </si>
  <si>
    <t>Accrued Utilities</t>
  </si>
  <si>
    <t>JE-2404</t>
  </si>
  <si>
    <t>Depreciation Expense</t>
  </si>
  <si>
    <t>Monthly depreciation</t>
  </si>
  <si>
    <t>Accumulated Depreciation</t>
  </si>
  <si>
    <t>JE-2405</t>
  </si>
  <si>
    <t>Freight &amp; Shipping</t>
  </si>
  <si>
    <t>Accrued freight</t>
  </si>
  <si>
    <t>Accrued Freight</t>
  </si>
  <si>
    <t>Total</t>
  </si>
  <si>
    <t>Total Debits:</t>
  </si>
  <si>
    <t>Total Credits:</t>
  </si>
  <si>
    <t>Difference:</t>
  </si>
  <si>
    <t>Status:</t>
  </si>
  <si>
    <t>Column1</t>
  </si>
  <si>
    <t xml:space="preserve">Debit/Credit </t>
  </si>
  <si>
    <t>Reconciliation</t>
  </si>
  <si>
    <t xml:space="preserve"> </t>
  </si>
  <si>
    <t xml:space="preserve">BANK RECONCILIATION - DECEMBER 2024 </t>
  </si>
  <si>
    <t>ABC Steel Manufacturing - Main Operating Account</t>
  </si>
  <si>
    <t>Bank Statement Balance (per statement)</t>
  </si>
  <si>
    <t>Statement Date</t>
  </si>
  <si>
    <t>Ending Check #:</t>
  </si>
  <si>
    <t>Outstanding Checks</t>
  </si>
  <si>
    <t>Check #12823</t>
  </si>
  <si>
    <t>Check #12834</t>
  </si>
  <si>
    <t>Check #12841</t>
  </si>
  <si>
    <t>Check #12843</t>
  </si>
  <si>
    <t>Outstanding Deposits</t>
  </si>
  <si>
    <t>Deposit 12/30</t>
  </si>
  <si>
    <t>Deposit 12/31</t>
  </si>
  <si>
    <t>Bank Balance per Statement</t>
  </si>
  <si>
    <t>Plus: Deposits in Transit</t>
  </si>
  <si>
    <t>Less: Outstanding Checks</t>
  </si>
  <si>
    <t>BALANCE PER BOOKS</t>
  </si>
  <si>
    <t>GL Cash Account Balance (verify)</t>
  </si>
  <si>
    <t>Reconciliation Difference</t>
  </si>
  <si>
    <t>BANK STATEMENT ACTIVITY</t>
  </si>
  <si>
    <t>Description</t>
  </si>
  <si>
    <t>Debit</t>
  </si>
  <si>
    <t>Credit</t>
  </si>
  <si>
    <t>Balance</t>
  </si>
  <si>
    <t>12/1/2024</t>
  </si>
  <si>
    <t>Opening Balance</t>
  </si>
  <si>
    <t>12/5/2024</t>
  </si>
  <si>
    <t>Wire Transfer Out</t>
  </si>
  <si>
    <t>12/10/2024</t>
  </si>
  <si>
    <t>Payroll Deposit</t>
  </si>
  <si>
    <t>12/15/2024</t>
  </si>
  <si>
    <t>Customer Payment</t>
  </si>
  <si>
    <t>12/20/2024</t>
  </si>
  <si>
    <t>Equipment Purchase</t>
  </si>
  <si>
    <t>12/28/2024</t>
  </si>
  <si>
    <t>Interest Earned</t>
  </si>
  <si>
    <t>Ending Balance</t>
  </si>
  <si>
    <t>GL ACCOUNT 1000 - CASH RECONCILIATION</t>
  </si>
  <si>
    <t>Opening Balance (12/1/2024)</t>
  </si>
  <si>
    <t>Customer payments received</t>
  </si>
  <si>
    <t>Customer payments 12/15</t>
  </si>
  <si>
    <t>Interest earned</t>
  </si>
  <si>
    <t xml:space="preserve">Total cash in </t>
  </si>
  <si>
    <t>Less: Cash Disbursements</t>
  </si>
  <si>
    <t>Plus: Cash Receipts</t>
  </si>
  <si>
    <t>Payroll disbursed</t>
  </si>
  <si>
    <t>Supplier payments</t>
  </si>
  <si>
    <t>Equipment purchase</t>
  </si>
  <si>
    <t>Utilities paid</t>
  </si>
  <si>
    <t>Freight paid</t>
  </si>
  <si>
    <t>Other operating payments</t>
  </si>
  <si>
    <t>Total Cash Out</t>
  </si>
  <si>
    <t xml:space="preserve">ENDING GL CASH BALANCE (12/31/2024)           </t>
  </si>
  <si>
    <t>INVENTORY AGING &amp; STOCKROOM RESERVES</t>
  </si>
  <si>
    <t>SKU</t>
  </si>
  <si>
    <t>On Hand Units</t>
  </si>
  <si>
    <t>Unit Cost</t>
  </si>
  <si>
    <t>Total Value</t>
  </si>
  <si>
    <t>Months on Shelf</t>
  </si>
  <si>
    <t>Reserve %</t>
  </si>
  <si>
    <t>Reserve Amount</t>
  </si>
  <si>
    <t>STL-001</t>
  </si>
  <si>
    <t>Coil Steel - Hot Rolled</t>
  </si>
  <si>
    <t>STL-002</t>
  </si>
  <si>
    <t>Plate Steel - 1/4"</t>
  </si>
  <si>
    <t>STL-003</t>
  </si>
  <si>
    <t>Cold Rolled Coil</t>
  </si>
  <si>
    <t>STL-004</t>
  </si>
  <si>
    <t>Stainless Steel Bar</t>
  </si>
  <si>
    <t>STL-005</t>
  </si>
  <si>
    <t>Scrap Steel - Bin A</t>
  </si>
  <si>
    <t>STL-006</t>
  </si>
  <si>
    <t>Specialty Alloy</t>
  </si>
  <si>
    <t>INVENTORY SUMMARY</t>
  </si>
  <si>
    <t>Total Inventory Value</t>
  </si>
  <si>
    <t>Total Obsolescence Reserve</t>
  </si>
  <si>
    <t>Net Inventory Value</t>
  </si>
  <si>
    <t>Reserve as % of Inventory</t>
  </si>
  <si>
    <t>.</t>
  </si>
  <si>
    <t xml:space="preserve"> GOODS RECEIVED &amp; ACCOUNTS PAYABLE RECONCILIATION</t>
  </si>
  <si>
    <t>Receipt Date</t>
  </si>
  <si>
    <t>PO #</t>
  </si>
  <si>
    <t>Vendor Name</t>
  </si>
  <si>
    <t>Qty</t>
  </si>
  <si>
    <t>Total Amount</t>
  </si>
  <si>
    <t>Invoice Status</t>
  </si>
  <si>
    <t>Notes</t>
  </si>
  <si>
    <t>PO-4521</t>
  </si>
  <si>
    <t>Steel Suppliers Inc</t>
  </si>
  <si>
    <t>Hot Rolled Coil - 5 tons</t>
  </si>
  <si>
    <t>Invoiced</t>
  </si>
  <si>
    <t>Received in good condition</t>
  </si>
  <si>
    <t>12/18/2024</t>
  </si>
  <si>
    <t>PO-4534</t>
  </si>
  <si>
    <t>Allied Metal Corp</t>
  </si>
  <si>
    <t>Stainless Plate Stock</t>
  </si>
  <si>
    <t>Partial receipt</t>
  </si>
  <si>
    <t>PO-4541</t>
  </si>
  <si>
    <t>Industrial Supplies Co</t>
  </si>
  <si>
    <t>Raw Materials</t>
  </si>
  <si>
    <t>Not Yet Invoiced</t>
  </si>
  <si>
    <t>GRR pending invoice</t>
  </si>
  <si>
    <t>12/22/2024</t>
  </si>
  <si>
    <t>PO-4553</t>
  </si>
  <si>
    <t>Quality Steel Partners</t>
  </si>
  <si>
    <t>Full receipt</t>
  </si>
  <si>
    <t>12/24/2024</t>
  </si>
  <si>
    <t>PO-4558</t>
  </si>
  <si>
    <t>Scrap Material</t>
  </si>
  <si>
    <t>As agreed</t>
  </si>
  <si>
    <t>PO-4567</t>
  </si>
  <si>
    <t>Energy Logistics</t>
  </si>
  <si>
    <t>GRR created</t>
  </si>
  <si>
    <t>RECONCILIATION TO ACCOUNTS PAYABLE</t>
  </si>
  <si>
    <t>Total GRIR Amount</t>
  </si>
  <si>
    <t>Less: Not Yet Invoiced</t>
  </si>
  <si>
    <t>Amount in AP (Invoiced)</t>
  </si>
  <si>
    <t>Accounts Payable GL Balance</t>
  </si>
  <si>
    <t>Difference</t>
  </si>
  <si>
    <t>AP Age</t>
  </si>
  <si>
    <t>Count</t>
  </si>
  <si>
    <t>Amount</t>
  </si>
  <si>
    <t>% of Total</t>
  </si>
  <si>
    <t>Current (0-30 days)</t>
  </si>
  <si>
    <t>Past Due (31-60 days)</t>
  </si>
  <si>
    <t>Past Due (61-90 days)</t>
  </si>
  <si>
    <t>Over 90 days</t>
  </si>
  <si>
    <t>TOTAL</t>
  </si>
  <si>
    <t>FREIGHT EXPENSE TRACKING</t>
  </si>
  <si>
    <t>FREIGHT &amp; SHIPPING EXPENSE TRACKING</t>
  </si>
  <si>
    <t>Shipment Date</t>
  </si>
  <si>
    <t>Ship To</t>
  </si>
  <si>
    <t>Carrier</t>
  </si>
  <si>
    <t>Tracking #</t>
  </si>
  <si>
    <t>Weight (lbs)</t>
  </si>
  <si>
    <t>Cost</t>
  </si>
  <si>
    <t>Cost per lb</t>
  </si>
  <si>
    <t>Chicago, IL</t>
  </si>
  <si>
    <t>FedEx</t>
  </si>
  <si>
    <t>12/8/2024</t>
  </si>
  <si>
    <t>Detroit, MI</t>
  </si>
  <si>
    <t>XPO Logistics</t>
  </si>
  <si>
    <t>12/12/2024</t>
  </si>
  <si>
    <t>Cleveland, OH</t>
  </si>
  <si>
    <t>J.B. Hunt</t>
  </si>
  <si>
    <t>Pittsburgh, PA</t>
  </si>
  <si>
    <t>Old Dominion</t>
  </si>
  <si>
    <t>Columbus, OH</t>
  </si>
  <si>
    <t>FedEx Freight</t>
  </si>
  <si>
    <t>Indianapolis, IN</t>
  </si>
  <si>
    <t>Total Shipments</t>
  </si>
  <si>
    <t>Total Cost</t>
  </si>
  <si>
    <t>Avg Cost per lb</t>
  </si>
  <si>
    <t>MONTHLY FREIGHT SUMMARY</t>
  </si>
  <si>
    <t>Total Weight (lbs)</t>
  </si>
  <si>
    <t>Total Freight Cost</t>
  </si>
  <si>
    <t>Average Cost per lb</t>
  </si>
  <si>
    <t xml:space="preserve"> WEEKLY SPENDING REPORT - DECEMBER 2024</t>
  </si>
  <si>
    <t>Expense Category</t>
  </si>
  <si>
    <t>Week 1</t>
  </si>
  <si>
    <t>Week 2</t>
  </si>
  <si>
    <t>Week 3</t>
  </si>
  <si>
    <t>Week 4</t>
  </si>
  <si>
    <t>Month Total</t>
  </si>
  <si>
    <t>Budget</t>
  </si>
  <si>
    <t>Direct Labor</t>
  </si>
  <si>
    <t>Utilities</t>
  </si>
  <si>
    <t>Maintenance</t>
  </si>
  <si>
    <t>Supplies &amp; Other</t>
  </si>
  <si>
    <t>Variance</t>
  </si>
  <si>
    <t>TOTAL MONTHLY SPEND</t>
  </si>
  <si>
    <t>% of Budget</t>
  </si>
  <si>
    <t>Over/(Under) Budget</t>
  </si>
  <si>
    <t>Highest Week</t>
  </si>
  <si>
    <t>Lowest Week</t>
  </si>
  <si>
    <t>Average Weekly</t>
  </si>
  <si>
    <t>Trend</t>
  </si>
  <si>
    <t>INCREASING</t>
  </si>
  <si>
    <t xml:space="preserve"> BUDGET VS ACTUAL ANALYSIS - YEAR TO DATE</t>
  </si>
  <si>
    <t>As of December 31, 2024</t>
  </si>
  <si>
    <t>Account Name</t>
  </si>
  <si>
    <t>Annual Budget</t>
  </si>
  <si>
    <t>YTD Budget</t>
  </si>
  <si>
    <t>YTD Actual</t>
  </si>
  <si>
    <t>Variance $</t>
  </si>
  <si>
    <t>Variance %</t>
  </si>
  <si>
    <t>Depreciation</t>
  </si>
  <si>
    <t>Plant Maintenance</t>
  </si>
  <si>
    <t>Supplies &amp; Misc</t>
  </si>
  <si>
    <t>Category</t>
  </si>
  <si>
    <t>Favorable</t>
  </si>
  <si>
    <t>Unfavorable</t>
  </si>
  <si>
    <t>Net Variance</t>
  </si>
  <si>
    <t>Labor</t>
  </si>
  <si>
    <t>Other</t>
  </si>
  <si>
    <t xml:space="preserve"> QUARTERLY FORECAST - Q1 2025</t>
  </si>
  <si>
    <t>Prepared: December 31, 2024</t>
  </si>
  <si>
    <t>Dec Actual</t>
  </si>
  <si>
    <t>Growth %</t>
  </si>
  <si>
    <t>Q1 Forecast</t>
  </si>
  <si>
    <t>Assumption</t>
  </si>
  <si>
    <t>Sensitivity</t>
  </si>
  <si>
    <t>Production +2.5%</t>
  </si>
  <si>
    <t>Commodity prices flat</t>
  </si>
  <si>
    <t>Headcount stable</t>
  </si>
  <si>
    <t>Standard rates</t>
  </si>
  <si>
    <t>Manufacturing OH</t>
  </si>
  <si>
    <t>Utilization 85%</t>
  </si>
  <si>
    <t>Inflation on utilities</t>
  </si>
  <si>
    <t>Winter rates increase</t>
  </si>
  <si>
    <t>Seasonal variance</t>
  </si>
  <si>
    <t>Volume dependent</t>
  </si>
  <si>
    <t>Carrier rate stable</t>
  </si>
  <si>
    <t>Scheduled maintenance</t>
  </si>
  <si>
    <t>Planned outages</t>
  </si>
  <si>
    <t>Month</t>
  </si>
  <si>
    <t>OH</t>
  </si>
  <si>
    <t>January</t>
  </si>
  <si>
    <t>February</t>
  </si>
  <si>
    <t>March</t>
  </si>
  <si>
    <t>Q1 Total</t>
  </si>
  <si>
    <t>BASE CASE Q1 FORECAST TOTAL</t>
  </si>
  <si>
    <t>SENSITIVITY ANALYSIS:</t>
  </si>
  <si>
    <t>Scenario 1: +5% Volume Growth</t>
  </si>
  <si>
    <t xml:space="preserve">  Raw Materials Increase:</t>
  </si>
  <si>
    <t>Scenario 2: +3% Inflation</t>
  </si>
  <si>
    <t xml:space="preserve">  Labor Increase:</t>
  </si>
  <si>
    <t xml:space="preserve">  Overhead Increase:</t>
  </si>
  <si>
    <t>Scenario 3: -2% Volume Decline</t>
  </si>
  <si>
    <t xml:space="preserve">  Raw Materials: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</si>
</sst>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11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rgb="FF0000FF"/>
      <name val="Calibri"/>
      <family val="2"/>
    </font>
    <font>
      <sz val="11"/>
      <color rgb="FF0000FF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17" fontId="3" fillId="0" borderId="0" xfId="0" applyNumberFormat="1" applyFont="1"/>
    <xf numFmtId="0" fontId="8" fillId="0" borderId="0" xfId="0" applyFont="1"/>
    <xf numFmtId="0" fontId="9" fillId="0" borderId="0" xfId="0" applyFont="1"/>
    <xf numFmtId="14" fontId="0" fillId="0" borderId="0" xfId="0" applyNumberFormat="1"/>
    <xf numFmtId="0" fontId="3" fillId="0" borderId="0" xfId="0" applyFont="1" applyAlignment="1">
      <alignment horizontal="right"/>
    </xf>
    <xf numFmtId="164" fontId="0" fillId="0" borderId="0" xfId="1" applyNumberFormat="1" applyFont="1"/>
    <xf numFmtId="8" fontId="0" fillId="0" borderId="0" xfId="0" applyNumberFormat="1"/>
    <xf numFmtId="6" fontId="0" fillId="0" borderId="0" xfId="0" applyNumberFormat="1"/>
    <xf numFmtId="6" fontId="0" fillId="0" borderId="0" xfId="1" applyNumberFormat="1" applyFont="1"/>
    <xf numFmtId="6" fontId="4" fillId="0" borderId="0" xfId="0" applyNumberFormat="1" applyFont="1"/>
    <xf numFmtId="6" fontId="3" fillId="0" borderId="0" xfId="0" applyNumberFormat="1" applyFont="1"/>
    <xf numFmtId="0" fontId="2" fillId="0" borderId="0" xfId="0" applyFont="1"/>
    <xf numFmtId="9" fontId="0" fillId="0" borderId="0" xfId="0" applyNumberFormat="1"/>
    <xf numFmtId="0" fontId="6" fillId="0" borderId="0" xfId="0" applyFont="1"/>
    <xf numFmtId="10" fontId="0" fillId="0" borderId="0" xfId="0" applyNumberFormat="1"/>
    <xf numFmtId="0" fontId="5" fillId="0" borderId="0" xfId="0" applyFont="1"/>
    <xf numFmtId="6" fontId="6" fillId="0" borderId="0" xfId="0" applyNumberFormat="1" applyFont="1"/>
    <xf numFmtId="6" fontId="5" fillId="0" borderId="0" xfId="0" applyNumberFormat="1" applyFont="1"/>
    <xf numFmtId="10" fontId="6" fillId="0" borderId="0" xfId="2" applyNumberFormat="1" applyFont="1"/>
    <xf numFmtId="10" fontId="5" fillId="0" borderId="0" xfId="2" applyNumberFormat="1" applyFont="1"/>
    <xf numFmtId="164" fontId="6" fillId="0" borderId="0" xfId="1" applyNumberFormat="1" applyFont="1"/>
    <xf numFmtId="164" fontId="6" fillId="0" borderId="0" xfId="0" applyNumberFormat="1" applyFont="1"/>
    <xf numFmtId="8" fontId="6" fillId="0" borderId="0" xfId="0" applyNumberFormat="1" applyFont="1"/>
    <xf numFmtId="9" fontId="6" fillId="0" borderId="0" xfId="2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41"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12" formatCode="&quot;$&quot;#,##0.00;[Red]\-&quot;$&quot;#,##0.00"/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12" formatCode="&quot;$&quot;#,##0.00;[Red]\-&quot;$&quot;#,##0.00"/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12" formatCode="&quot;$&quot;#,##0.00;[Red]\-&quot;$&quot;#,##0.00"/>
    </dxf>
    <dxf>
      <numFmt numFmtId="12" formatCode="&quot;$&quot;#,##0.00;[Red]\-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numFmt numFmtId="13" formatCode="0%"/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numFmt numFmtId="10" formatCode="&quot;$&quot;#,##0;[Red]\-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;[Red]\-&quot;$&quot;#,##0"/>
    </dxf>
    <dxf>
      <numFmt numFmtId="10" formatCode="&quot;$&quot;#,##0;[Red]\-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;[Red]\-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10" formatCode="&quot;$&quot;#,##0;[Red]\-&quot;$&quot;#,##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;[Red]\-&quot;$&quot;#,##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;[Red]\-&quot;$&quot;#,##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E456B6-5059-4C1A-8F0B-39BF455A27B4}" name="Table1" displayName="Table1" ref="A4:H15" totalsRowShown="0">
  <autoFilter ref="A4:H15" xr:uid="{16E456B6-5059-4C1A-8F0B-39BF455A27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5C83BDC-8D42-4BFE-879D-FD3C3DBD690E}" name="Date"/>
    <tableColumn id="2" xr3:uid="{4C736F0E-16D4-4A12-93CE-42BC0ED9F6B6}" name="Journal Entry #"/>
    <tableColumn id="3" xr3:uid="{DAF61E51-39C5-49C7-9D55-808C1A402244}" name="GL Account"/>
    <tableColumn id="4" xr3:uid="{2AE5474D-FD60-4EA2-992E-652B79B50A3D}" name="Account Description"/>
    <tableColumn id="5" xr3:uid="{217EB3FA-0FD3-4D9C-A45C-4DFF3F0B293A}" name="Debit Amount"/>
    <tableColumn id="6" xr3:uid="{AFA25080-2BC6-4E44-AC57-C41A24B8DCE5}" name="Credit Amount"/>
    <tableColumn id="7" xr3:uid="{B84468DA-2E00-4478-8C1E-0DE885516CBC}" name="Reference/Memo"/>
    <tableColumn id="8" xr3:uid="{30E36734-770B-40A3-850B-40FAF99E4D0C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82BEA7-8EFD-43A8-9C19-8FC3C0586A20}" name="Table2" displayName="Table2" ref="A18:B22" totalsRowShown="0">
  <autoFilter ref="A18:B22" xr:uid="{EF82BEA7-8EFD-43A8-9C19-8FC3C0586A20}">
    <filterColumn colId="0" hiddenButton="1"/>
    <filterColumn colId="1" hiddenButton="1"/>
  </autoFilter>
  <tableColumns count="2">
    <tableColumn id="1" xr3:uid="{66A7DA91-E2BB-472A-B6A1-E012B5C1A614}" name="Debit/Credit "/>
    <tableColumn id="2" xr3:uid="{8D2B4B21-FF8C-4FF3-B60E-12BB1E3AC2C5}" name="Reconcili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BB92FE-5949-456B-AA3A-B28764EFAF44}" name="Table3" displayName="Table3" ref="A26:E33" totalsRowShown="0">
  <autoFilter ref="A26:E33" xr:uid="{13BB92FE-5949-456B-AA3A-B28764EFAF4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B160A73-B246-4350-AEA1-676F978D3E45}" name="Date"/>
    <tableColumn id="2" xr3:uid="{A6DF3038-6944-4AAF-821F-13A1A767B141}" name="Description"/>
    <tableColumn id="3" xr3:uid="{FEA61403-345F-48C0-8FF1-D9A0B2CB26D6}" name="Debit" dataDxfId="40"/>
    <tableColumn id="4" xr3:uid="{CFBB731E-1181-4BA2-B17F-D2D302015EB2}" name="Credit" dataDxfId="39"/>
    <tableColumn id="5" xr3:uid="{12ECE33A-D9F6-4BE5-836D-DD565D9FC359}" name="Balance" dataDxfId="38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FBE8E6-FE81-4225-894E-0AC10006924F}" name="Table5" displayName="Table5" ref="A3:B23" headerRowCount="0" totalsRowShown="0">
  <tableColumns count="2">
    <tableColumn id="1" xr3:uid="{B6E2DF87-3D86-49F7-AB9C-4BB82A190933}" name="Column1"/>
    <tableColumn id="2" xr3:uid="{40E97B85-EDDA-4A5B-AB2B-B7EF4105E973}" name="Column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BBD08A-9615-4453-8F95-0B92911CE034}" name="Table6" displayName="Table6" ref="A37:C53" headerRowCount="0" totalsRowShown="0">
  <tableColumns count="3">
    <tableColumn id="1" xr3:uid="{1AAB7B2F-61AF-4730-992E-39539AF7B058}" name="Column1" headerRowDxfId="37"/>
    <tableColumn id="2" xr3:uid="{E579E63C-6E4F-4CB5-BE33-AAE698774975}" name="Column2" headerRowDxfId="36" dataDxfId="35"/>
    <tableColumn id="3" xr3:uid="{02A738F4-6E78-4E9C-9895-D9F321C79320}" name="Column3" headerRowDxfId="34" dataDxfId="3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07D11C-A757-4100-920C-7562AB52D036}" name="Table7" displayName="Table7" ref="A4:H10" totalsRowShown="0">
  <autoFilter ref="A4:H10" xr:uid="{3F07D11C-A757-4100-920C-7562AB52D0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3DCA6E1-3688-448B-9FA1-BC98A84E5074}" name="SKU"/>
    <tableColumn id="2" xr3:uid="{63DD15BE-1BD3-4CD3-9F49-03C6FC05F3F8}" name="Description"/>
    <tableColumn id="3" xr3:uid="{754AFFB1-5AAE-4805-BC55-EE885FEAAA3A}" name="On Hand Units"/>
    <tableColumn id="4" xr3:uid="{7461C4C9-11C8-4A1C-953B-8FE792C0D523}" name="Unit Cost"/>
    <tableColumn id="5" xr3:uid="{7B6CE000-DE41-4C7B-B25D-86782A689121}" name="Total Value" dataDxfId="32">
      <calculatedColumnFormula>C5*D5</calculatedColumnFormula>
    </tableColumn>
    <tableColumn id="6" xr3:uid="{9757D7D2-6F97-41FE-99D8-3003222DA34C}" name="Months on Shelf"/>
    <tableColumn id="7" xr3:uid="{2F48FC59-2836-4F88-AF23-F18F7BBE0A3A}" name="Reserve %" dataDxfId="31"/>
    <tableColumn id="8" xr3:uid="{585C0F0B-AD0E-4E60-AEC8-F8DFDC4D28B3}" name="Reserve Amount" dataDxfId="30">
      <calculatedColumnFormula>E5*G5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4F676C-CDDC-4E79-9D7F-05B89F445532}" name="Table8" displayName="Table8" ref="A12:B16" totalsRowShown="0">
  <autoFilter ref="A12:B16" xr:uid="{B24F676C-CDDC-4E79-9D7F-05B89F445532}">
    <filterColumn colId="0" hiddenButton="1"/>
    <filterColumn colId="1" hiddenButton="1"/>
  </autoFilter>
  <tableColumns count="2">
    <tableColumn id="1" xr3:uid="{776E989B-744B-41D0-8BD6-210AC039548D}" name="INVENTORY SUMMARY"/>
    <tableColumn id="2" xr3:uid="{E8793F49-8339-4362-889F-78D50B19CF6C}" name=".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C26E1B-C51D-4DFC-B537-4E3A79AA3829}" name="Table9" displayName="Table9" ref="A4:I10" totalsRowShown="0">
  <autoFilter ref="A4:I10" xr:uid="{D4C26E1B-C51D-4DFC-B537-4E3A79AA38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279E0FD-AA48-4AB2-97E2-AB594B61898F}" name="Receipt Date"/>
    <tableColumn id="2" xr3:uid="{B4CC668E-B2F9-4FD0-A154-D07A23D3808E}" name="PO #"/>
    <tableColumn id="3" xr3:uid="{5E4B7581-8FAD-4CB3-A09F-B8287CA847CE}" name="Vendor Name"/>
    <tableColumn id="4" xr3:uid="{D33F47C8-7B6D-4DFD-8C4B-672F415855DA}" name="Description"/>
    <tableColumn id="5" xr3:uid="{4808F034-2260-42D4-A4E9-E92291862680}" name="Qty"/>
    <tableColumn id="6" xr3:uid="{ADF10B85-EDCA-4A6C-BD03-469C025FE0B5}" name="Unit Cost"/>
    <tableColumn id="7" xr3:uid="{69180177-27CF-491E-BE32-5B9806836E92}" name="Total Amount" dataDxfId="28">
      <calculatedColumnFormula>E5*F5</calculatedColumnFormula>
    </tableColumn>
    <tableColumn id="8" xr3:uid="{55E7BF11-D905-4D64-8D2B-DC17C518F44F}" name="Invoice Status"/>
    <tableColumn id="9" xr3:uid="{30551B39-3160-41C0-B08C-8F2C401A9819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F1C172-D932-4789-80AF-510B4DB826D7}" name="Table10" displayName="Table10" ref="A12:B18" totalsRowShown="0">
  <autoFilter ref="A12:B18" xr:uid="{35F1C172-D932-4789-80AF-510B4DB826D7}">
    <filterColumn colId="0" hiddenButton="1"/>
    <filterColumn colId="1" hiddenButton="1"/>
  </autoFilter>
  <tableColumns count="2">
    <tableColumn id="1" xr3:uid="{C601D56D-F561-4FF2-9375-4FFE0AE6E1E2}" name="RECONCILIATION TO ACCOUNTS PAYABLE"/>
    <tableColumn id="2" xr3:uid="{6EB962B3-C337-4E22-8527-15CAAA223FA5}" name="." dataDxfId="2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4C4ABB4-13B4-4A63-9C4B-16006E4BFC1F}" name="Table11" displayName="Table11" ref="A20:D25" totalsRowShown="0">
  <autoFilter ref="A20:D25" xr:uid="{B4C4ABB4-13B4-4A63-9C4B-16006E4BFC1F}">
    <filterColumn colId="0" hiddenButton="1"/>
    <filterColumn colId="1" hiddenButton="1"/>
    <filterColumn colId="2" hiddenButton="1"/>
    <filterColumn colId="3" hiddenButton="1"/>
  </autoFilter>
  <tableColumns count="4">
    <tableColumn id="1" xr3:uid="{623B4492-AC3B-4F30-9781-9A9C59C2F9BB}" name="AP Age"/>
    <tableColumn id="2" xr3:uid="{06414111-D98A-456D-A126-BE45A82C03A3}" name="Count"/>
    <tableColumn id="3" xr3:uid="{C5977E6B-EC56-444B-84D4-E030F5A182BB}" name="Amount"/>
    <tableColumn id="4" xr3:uid="{9FE57611-DDCA-4317-8673-F3519282FC7C}" name="% of Total" dataDxfId="26" dataCellStyle="Percent">
      <calculatedColumnFormula>Table11[[#This Row],[Amount]]/$C$25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1A89EE3-3DA7-4914-BD84-948ACE41B8D6}" name="Table12" displayName="Table12" ref="A6:H12" totalsRowShown="0" headerRowDxfId="25">
  <autoFilter ref="A6:H12" xr:uid="{81A89EE3-3DA7-4914-BD84-948ACE41B8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D976E07-4210-465E-9089-5020461672AD}" name="Shipment Date"/>
    <tableColumn id="2" xr3:uid="{00A925FA-C71A-4C04-A989-C62C6F4DE8D8}" name="Ship To"/>
    <tableColumn id="3" xr3:uid="{4341C2C0-44A9-49AD-92F2-0C3B27D0FF7F}" name="Carrier"/>
    <tableColumn id="4" xr3:uid="{97B74B4E-5460-4EB8-B6AD-20ED97FADAE7}" name="Tracking #"/>
    <tableColumn id="5" xr3:uid="{D557E0CF-4B7E-47C0-B497-809D047ABC33}" name="Weight (lbs)"/>
    <tableColumn id="6" xr3:uid="{4B8DB71A-5AD7-41AC-92B9-5630842180AD}" name="Cost" dataDxfId="24"/>
    <tableColumn id="7" xr3:uid="{D0EF7944-F656-4DA3-9BEE-F13754D24A59}" name="Cost per lb" dataDxfId="23">
      <calculatedColumnFormula>F7/E7</calculatedColumnFormula>
    </tableColumn>
    <tableColumn id="8" xr3:uid="{FB5B93EB-B966-42AF-B378-274B7CA67E64}" name="GL Accou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CD5D9CF-8C2F-4968-B024-95DB05AF3FCE}" name="Table14" displayName="Table14" ref="A14:D19" totalsRowShown="0">
  <autoFilter ref="A14:D19" xr:uid="{DCD5D9CF-8C2F-4968-B024-95DB05AF3FCE}">
    <filterColumn colId="0" hiddenButton="1"/>
    <filterColumn colId="1" hiddenButton="1"/>
    <filterColumn colId="2" hiddenButton="1"/>
    <filterColumn colId="3" hiddenButton="1"/>
  </autoFilter>
  <tableColumns count="4">
    <tableColumn id="1" xr3:uid="{651C58CC-9D0A-4493-B8E7-3DEDA05B9AD1}" name="Carrier"/>
    <tableColumn id="2" xr3:uid="{F02EB146-21E7-4350-8637-9C715286915B}" name="Total Shipments" dataDxfId="22">
      <calculatedColumnFormula>COUNTIF(Table12[Carrier],$A15)</calculatedColumnFormula>
    </tableColumn>
    <tableColumn id="3" xr3:uid="{6714FBB1-6A8F-4016-AE2D-63EAF4F1D90E}" name="Total Cost" dataDxfId="21">
      <calculatedColumnFormula>SUMIF(C7:C12,$A15,F7:F12)</calculatedColumnFormula>
    </tableColumn>
    <tableColumn id="4" xr3:uid="{A6ED2737-8D5F-4982-B0E8-BCC351AD884C}" name="Avg Cost per lb" dataDxfId="20">
      <calculatedColumnFormula>_xlfn.XLOOKUP(A15,Table12[Carrier],Table12[Cost per lb],"",1)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1F233F-BD7A-4BDE-B78E-A8CE925B4F71}" name="Table15" displayName="Table15" ref="A21:B25" totalsRowShown="0">
  <autoFilter ref="A21:B25" xr:uid="{D61F233F-BD7A-4BDE-B78E-A8CE925B4F71}">
    <filterColumn colId="0" hiddenButton="1"/>
    <filterColumn colId="1" hiddenButton="1"/>
  </autoFilter>
  <tableColumns count="2">
    <tableColumn id="1" xr3:uid="{18C7850F-645A-46BA-A1CC-A09CA3444D42}" name="MONTHLY FREIGHT SUMMARY"/>
    <tableColumn id="2" xr3:uid="{86281564-13CF-4B9B-91F8-A7634F6DDCF4}" name="Column1" dataDxfId="1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88015EC-644F-44FA-888E-EE9E626FC02A}" name="Table16" displayName="Table16" ref="A3:H11" totalsRowShown="0">
  <autoFilter ref="A3:H11" xr:uid="{F88015EC-644F-44FA-888E-EE9E626FC0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3CBCE36-6150-4025-B686-828E8D6711D6}" name="Expense Category"/>
    <tableColumn id="2" xr3:uid="{6F28A645-E91D-440F-A0A0-60FA7215DB8A}" name="Week 1"/>
    <tableColumn id="3" xr3:uid="{1B8FEB2F-A15E-40B9-BED3-13D77FAEA386}" name="Week 2"/>
    <tableColumn id="4" xr3:uid="{798B0A5B-3DA1-412B-9271-DF1EE9506100}" name="Week 3"/>
    <tableColumn id="5" xr3:uid="{05F69A00-AC88-4429-BD8F-78545A72AECE}" name="Week 4"/>
    <tableColumn id="6" xr3:uid="{775B42F0-F61A-4EF9-A597-4B844B528614}" name="Month Total" dataDxfId="18">
      <calculatedColumnFormula>SUM(B4:E4)</calculatedColumnFormula>
    </tableColumn>
    <tableColumn id="7" xr3:uid="{0262E210-B9D6-4EDB-A158-A7F80325D291}" name="Budget"/>
    <tableColumn id="8" xr3:uid="{34A74738-EFA2-4A3D-BDD1-604F30F168AE}" name="Variance" dataDxfId="17">
      <calculatedColumnFormula>Table16[[#This Row],[Month Total]]-Table16[[#This Row],[Budget]]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5E01C44-FDDD-445C-90EB-7A92A3EE3574}" name="Table17" displayName="Table17" ref="A16:B19" headerRowCount="0" totalsRowShown="0">
  <tableColumns count="2">
    <tableColumn id="1" xr3:uid="{EDDC5C5C-02F4-4652-837E-F2C6B8296F1D}" name="Column1"/>
    <tableColumn id="2" xr3:uid="{F95A6C60-CE55-417E-901C-DDCCAC297B08}" name="Column2" dataDxfId="1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5C73352-7ABE-43C4-943C-5D2509E89BE7}" name="Table18" displayName="Table18" ref="A13:B15" headerRowCount="0" totalsRowShown="0">
  <tableColumns count="2">
    <tableColumn id="1" xr3:uid="{AF1A24AD-F7D7-45B3-9267-8BDD2577722E}" name="Over/(Under) Budget"/>
    <tableColumn id="2" xr3:uid="{766DDCF3-DC1B-4E99-AFA4-25BB30CE7DC2}" name="Column2" dataDxfId="1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0B7280E-F97A-4B51-9246-0E0A2D5A1ACE}" name="Table19" displayName="Table19" ref="A4:H13" totalsRowShown="0">
  <autoFilter ref="A4:H13" xr:uid="{B0B7280E-F97A-4B51-9246-0E0A2D5A1A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5C949A7-6C5F-4DFE-B8EA-5174F6098547}" name="GL Account"/>
    <tableColumn id="2" xr3:uid="{7F4D4D6C-8240-4B85-84F6-654176FB9148}" name="Account Name"/>
    <tableColumn id="3" xr3:uid="{5B095BEF-8522-46A2-A788-ABE495B49DA8}" name="Annual Budget" dataDxfId="14"/>
    <tableColumn id="4" xr3:uid="{ADA81320-0481-4673-8605-F0F32C8CBE9E}" name="YTD Budget" dataDxfId="13"/>
    <tableColumn id="5" xr3:uid="{83D79067-81DD-488B-B261-CF6FE07140C1}" name="YTD Actual" dataDxfId="12"/>
    <tableColumn id="6" xr3:uid="{B267C6CB-DFF9-4F6E-A9F3-76800A1D938E}" name="Variance $" dataDxfId="11">
      <calculatedColumnFormula>E5-D5</calculatedColumnFormula>
    </tableColumn>
    <tableColumn id="7" xr3:uid="{D95A5D84-583E-486F-A6A4-9DA4C9E09C45}" name="Variance %" dataDxfId="10" dataCellStyle="Percent">
      <calculatedColumnFormula>F5/D5</calculatedColumnFormula>
    </tableColumn>
    <tableColumn id="8" xr3:uid="{6EBE0268-E096-484F-8F3D-845999C41E13}" name="Status" dataDxfId="9">
      <calculatedColumnFormula>IF(ABS(G5)&lt;=2%,"ON TARGET",IF(G5&lt;0,"FAVORABLE","UNFAVORABLE"))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7C54B45-A569-43A9-8CE0-9066B2751DBD}" name="Table20" displayName="Table20" ref="A15:D18" totalsRowShown="0">
  <autoFilter ref="A15:D18" xr:uid="{77C54B45-A569-43A9-8CE0-9066B2751DBD}">
    <filterColumn colId="0" hiddenButton="1"/>
    <filterColumn colId="1" hiddenButton="1"/>
    <filterColumn colId="2" hiddenButton="1"/>
    <filterColumn colId="3" hiddenButton="1"/>
  </autoFilter>
  <tableColumns count="4">
    <tableColumn id="1" xr3:uid="{0CCC94DF-7AE2-4BBB-BEDB-C27F07C02ADE}" name="Category"/>
    <tableColumn id="2" xr3:uid="{76683472-E312-4F94-A28E-9ECA62C6FE29}" name="Favorable" dataDxfId="8"/>
    <tableColumn id="3" xr3:uid="{AE499F2A-D73C-4730-B608-A4B1039B5CF6}" name="Unfavorable" dataDxfId="7"/>
    <tableColumn id="4" xr3:uid="{21E7C88B-F3EA-4E9E-AB99-DAE605C8A494}" name="Net Variance" dataDxfId="6">
      <calculatedColumnFormula>SUM(Table20[[#This Row],[Favorable]:[Unfavorable]])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E384B33-AF5F-48E0-9206-716C223BF747}" name="Table21" displayName="Table21" ref="A4:F10" totalsRowShown="0">
  <autoFilter ref="A4:F10" xr:uid="{8E384B33-AF5F-48E0-9206-716C223BF7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0199DAC-6D8D-485F-8D35-FEC1C5A81798}" name="Expense Category"/>
    <tableColumn id="2" xr3:uid="{59715B16-3215-4C1C-95BE-BEC8ABEF6C18}" name="Dec Actual"/>
    <tableColumn id="3" xr3:uid="{2C3802A5-4351-4348-9E7D-650D3AFABFAA}" name="Growth %" dataDxfId="5"/>
    <tableColumn id="4" xr3:uid="{62F39626-3464-444B-A815-A5BE42DFC466}" name="Q1 Forecast">
      <calculatedColumnFormula>B5*3*(1+C5)</calculatedColumnFormula>
    </tableColumn>
    <tableColumn id="5" xr3:uid="{BE7ACECA-B9D9-4D89-B03A-93CB2D830013}" name="Assumption"/>
    <tableColumn id="6" xr3:uid="{D5F8A616-4E6A-41A1-A2ED-5ADB50E9F008}" name="Sensitivity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A3531C1-D7F0-4B75-9F00-CE883E02E119}" name="Table22" displayName="Table22" ref="A13:E17" totalsRowShown="0">
  <autoFilter ref="A13:E17" xr:uid="{AA3531C1-D7F0-4B75-9F00-CE883E02E11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567F2B7-D76D-4B51-B09E-DACEC88E82D2}" name="Month"/>
    <tableColumn id="2" xr3:uid="{C6703B1F-F102-42CE-900D-3B3763777831}" name="Raw Materials" dataDxfId="4"/>
    <tableColumn id="3" xr3:uid="{AA9B58AF-C9C6-44F8-81B2-14E4D5136515}" name="Labor" dataDxfId="3"/>
    <tableColumn id="4" xr3:uid="{172BC5DC-4089-4EDB-811A-D0DCE9869448}" name="OH" dataDxfId="2"/>
    <tableColumn id="5" xr3:uid="{F0C35432-FC7C-4507-A6BC-BA7975943612}" name="Total" dataDxfId="1">
      <calculatedColumnFormula>SUM(Table22[[#This Row],[Raw Materials]:[OH]])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C9A602B-A7E0-43E2-B2E2-0EE511FEC96C}" name="Table23" displayName="Table23" ref="A20:B31" headerRowCount="0" totalsRowShown="0">
  <tableColumns count="2">
    <tableColumn id="1" xr3:uid="{7ADDB11C-628B-4032-A73F-4F5742BB2F9E}" name="Column1"/>
    <tableColumn id="2" xr3:uid="{FB9D705D-66FA-4B90-A525-E64118BA960C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2D44-3A64-46BB-9B62-C1AC2F268C6A}">
  <dimension ref="A1:H22"/>
  <sheetViews>
    <sheetView tabSelected="1" workbookViewId="0">
      <selection activeCell="D18" sqref="D18"/>
    </sheetView>
  </sheetViews>
  <sheetFormatPr defaultRowHeight="14.4" x14ac:dyDescent="0.3"/>
  <cols>
    <col min="1" max="1" width="11.88671875" bestFit="1" customWidth="1"/>
    <col min="2" max="2" width="13.5546875" bestFit="1" customWidth="1"/>
    <col min="3" max="3" width="10.5546875" bestFit="1" customWidth="1"/>
    <col min="4" max="4" width="22.77734375" bestFit="1" customWidth="1"/>
    <col min="5" max="5" width="12.77734375" bestFit="1" customWidth="1"/>
    <col min="6" max="6" width="13.44140625" bestFit="1" customWidth="1"/>
    <col min="7" max="7" width="19.88671875" bestFit="1" customWidth="1"/>
    <col min="8" max="8" width="6.5546875" bestFit="1" customWidth="1"/>
  </cols>
  <sheetData>
    <row r="1" spans="1:8" x14ac:dyDescent="0.3">
      <c r="A1" s="26" t="s">
        <v>0</v>
      </c>
      <c r="B1" s="27"/>
      <c r="C1" s="27"/>
      <c r="D1" s="27"/>
      <c r="E1" s="27"/>
      <c r="F1" s="27"/>
      <c r="G1" s="27"/>
      <c r="H1" s="27"/>
    </row>
    <row r="2" spans="1:8" x14ac:dyDescent="0.3">
      <c r="A2" s="1" t="s">
        <v>1</v>
      </c>
      <c r="B2" s="2">
        <v>45627</v>
      </c>
    </row>
    <row r="4" spans="1:8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 x14ac:dyDescent="0.3">
      <c r="A5" t="s">
        <v>10</v>
      </c>
      <c r="B5" t="s">
        <v>11</v>
      </c>
      <c r="C5">
        <v>6200</v>
      </c>
      <c r="D5" t="s">
        <v>12</v>
      </c>
      <c r="E5">
        <v>145000</v>
      </c>
      <c r="G5" t="s">
        <v>13</v>
      </c>
      <c r="H5" t="s">
        <v>14</v>
      </c>
    </row>
    <row r="6" spans="1:8" x14ac:dyDescent="0.3">
      <c r="A6" t="s">
        <v>10</v>
      </c>
      <c r="B6" t="s">
        <v>11</v>
      </c>
      <c r="C6">
        <v>1500</v>
      </c>
      <c r="D6" t="s">
        <v>15</v>
      </c>
      <c r="F6">
        <f>E5</f>
        <v>145000</v>
      </c>
      <c r="G6" t="s">
        <v>13</v>
      </c>
      <c r="H6" t="s">
        <v>14</v>
      </c>
    </row>
    <row r="7" spans="1:8" x14ac:dyDescent="0.3">
      <c r="A7" t="s">
        <v>10</v>
      </c>
      <c r="B7" t="s">
        <v>16</v>
      </c>
      <c r="C7">
        <v>6100</v>
      </c>
      <c r="D7" t="s">
        <v>17</v>
      </c>
      <c r="E7">
        <v>238500</v>
      </c>
      <c r="G7" t="s">
        <v>18</v>
      </c>
      <c r="H7" t="s">
        <v>14</v>
      </c>
    </row>
    <row r="8" spans="1:8" x14ac:dyDescent="0.3">
      <c r="A8" t="s">
        <v>10</v>
      </c>
      <c r="B8" t="s">
        <v>16</v>
      </c>
      <c r="C8">
        <v>2100</v>
      </c>
      <c r="D8" t="s">
        <v>19</v>
      </c>
      <c r="F8">
        <f>E7</f>
        <v>238500</v>
      </c>
      <c r="G8" t="s">
        <v>18</v>
      </c>
      <c r="H8" t="s">
        <v>14</v>
      </c>
    </row>
    <row r="9" spans="1:8" x14ac:dyDescent="0.3">
      <c r="A9" t="s">
        <v>10</v>
      </c>
      <c r="B9" t="s">
        <v>20</v>
      </c>
      <c r="C9">
        <v>4500</v>
      </c>
      <c r="D9" t="s">
        <v>21</v>
      </c>
      <c r="E9">
        <v>87250</v>
      </c>
      <c r="G9" t="s">
        <v>22</v>
      </c>
      <c r="H9" t="s">
        <v>14</v>
      </c>
    </row>
    <row r="10" spans="1:8" x14ac:dyDescent="0.3">
      <c r="A10" t="s">
        <v>10</v>
      </c>
      <c r="B10" t="s">
        <v>20</v>
      </c>
      <c r="C10">
        <v>2150</v>
      </c>
      <c r="D10" t="s">
        <v>23</v>
      </c>
      <c r="F10">
        <f>E9</f>
        <v>87250</v>
      </c>
      <c r="G10" t="s">
        <v>22</v>
      </c>
      <c r="H10" t="s">
        <v>14</v>
      </c>
    </row>
    <row r="11" spans="1:8" x14ac:dyDescent="0.3">
      <c r="A11" t="s">
        <v>10</v>
      </c>
      <c r="B11" t="s">
        <v>24</v>
      </c>
      <c r="C11">
        <v>6300</v>
      </c>
      <c r="D11" t="s">
        <v>25</v>
      </c>
      <c r="E11">
        <v>42500</v>
      </c>
      <c r="G11" t="s">
        <v>26</v>
      </c>
      <c r="H11" t="s">
        <v>14</v>
      </c>
    </row>
    <row r="12" spans="1:8" x14ac:dyDescent="0.3">
      <c r="A12" t="s">
        <v>10</v>
      </c>
      <c r="B12" t="s">
        <v>24</v>
      </c>
      <c r="C12">
        <v>1800</v>
      </c>
      <c r="D12" t="s">
        <v>27</v>
      </c>
      <c r="F12">
        <f>E11</f>
        <v>42500</v>
      </c>
      <c r="G12" t="s">
        <v>26</v>
      </c>
      <c r="H12" t="s">
        <v>14</v>
      </c>
    </row>
    <row r="13" spans="1:8" x14ac:dyDescent="0.3">
      <c r="A13" t="s">
        <v>10</v>
      </c>
      <c r="B13" t="s">
        <v>28</v>
      </c>
      <c r="C13">
        <v>6400</v>
      </c>
      <c r="D13" t="s">
        <v>29</v>
      </c>
      <c r="E13">
        <v>15750</v>
      </c>
      <c r="G13" t="s">
        <v>30</v>
      </c>
      <c r="H13" t="s">
        <v>14</v>
      </c>
    </row>
    <row r="14" spans="1:8" x14ac:dyDescent="0.3">
      <c r="A14" t="s">
        <v>10</v>
      </c>
      <c r="B14" t="s">
        <v>28</v>
      </c>
      <c r="C14">
        <v>2200</v>
      </c>
      <c r="D14" t="s">
        <v>31</v>
      </c>
      <c r="F14">
        <f>E13</f>
        <v>15750</v>
      </c>
      <c r="G14" t="s">
        <v>30</v>
      </c>
      <c r="H14" t="s">
        <v>14</v>
      </c>
    </row>
    <row r="15" spans="1:8" s="1" customFormat="1" x14ac:dyDescent="0.3">
      <c r="D15" s="1" t="s">
        <v>32</v>
      </c>
      <c r="E15" s="1">
        <f>SUM(E5:E14)</f>
        <v>529000</v>
      </c>
      <c r="F15" s="1">
        <f>SUM(F5:F14)</f>
        <v>529000</v>
      </c>
    </row>
    <row r="18" spans="1:2" x14ac:dyDescent="0.3">
      <c r="A18" t="s">
        <v>38</v>
      </c>
      <c r="B18" t="s">
        <v>39</v>
      </c>
    </row>
    <row r="19" spans="1:2" x14ac:dyDescent="0.3">
      <c r="A19" t="s">
        <v>33</v>
      </c>
      <c r="B19">
        <f>E15</f>
        <v>529000</v>
      </c>
    </row>
    <row r="20" spans="1:2" x14ac:dyDescent="0.3">
      <c r="A20" t="s">
        <v>34</v>
      </c>
      <c r="B20">
        <f>F15</f>
        <v>529000</v>
      </c>
    </row>
    <row r="21" spans="1:2" x14ac:dyDescent="0.3">
      <c r="A21" t="s">
        <v>35</v>
      </c>
      <c r="B21">
        <f>B19-B20</f>
        <v>0</v>
      </c>
    </row>
    <row r="22" spans="1:2" s="1" customFormat="1" x14ac:dyDescent="0.3">
      <c r="A22" s="1" t="s">
        <v>36</v>
      </c>
      <c r="B22" s="1" t="str">
        <f>IF(B21=0,"BALANCED ✓","OUT OF BALANCE")</f>
        <v>BALANCED ✓</v>
      </c>
    </row>
  </sheetData>
  <mergeCells count="1"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B266-AEF5-44DC-A1D3-4981A83F21BE}">
  <dimension ref="A1:F53"/>
  <sheetViews>
    <sheetView topLeftCell="A79" workbookViewId="0">
      <selection activeCell="C42" sqref="C42"/>
    </sheetView>
  </sheetViews>
  <sheetFormatPr defaultRowHeight="14.4" x14ac:dyDescent="0.3"/>
  <cols>
    <col min="1" max="1" width="49.6640625" bestFit="1" customWidth="1"/>
    <col min="2" max="2" width="17.77734375" bestFit="1" customWidth="1"/>
    <col min="3" max="3" width="12.44140625" bestFit="1" customWidth="1"/>
    <col min="4" max="4" width="11" bestFit="1" customWidth="1"/>
    <col min="5" max="5" width="12.77734375" bestFit="1" customWidth="1"/>
  </cols>
  <sheetData>
    <row r="1" spans="1:6" s="3" customFormat="1" ht="18" x14ac:dyDescent="0.35">
      <c r="A1" s="28" t="s">
        <v>41</v>
      </c>
      <c r="B1" s="29"/>
      <c r="C1" s="29"/>
      <c r="D1" s="29"/>
      <c r="E1" s="29"/>
      <c r="F1" s="29"/>
    </row>
    <row r="2" spans="1:6" s="4" customFormat="1" ht="15.6" x14ac:dyDescent="0.3">
      <c r="A2" s="4" t="s">
        <v>42</v>
      </c>
    </row>
    <row r="3" spans="1:6" x14ac:dyDescent="0.3">
      <c r="A3" t="s">
        <v>43</v>
      </c>
      <c r="B3">
        <f>E27</f>
        <v>2100000</v>
      </c>
    </row>
    <row r="4" spans="1:6" x14ac:dyDescent="0.3">
      <c r="A4" t="s">
        <v>44</v>
      </c>
      <c r="B4" s="5" t="s">
        <v>10</v>
      </c>
      <c r="F4" t="s">
        <v>40</v>
      </c>
    </row>
    <row r="5" spans="1:6" x14ac:dyDescent="0.3">
      <c r="A5" t="s">
        <v>45</v>
      </c>
      <c r="B5">
        <v>12847</v>
      </c>
    </row>
    <row r="7" spans="1:6" s="1" customFormat="1" x14ac:dyDescent="0.3">
      <c r="A7"/>
      <c r="B7"/>
    </row>
    <row r="8" spans="1:6" x14ac:dyDescent="0.3">
      <c r="A8" s="1" t="s">
        <v>46</v>
      </c>
      <c r="B8" s="1"/>
    </row>
    <row r="9" spans="1:6" x14ac:dyDescent="0.3">
      <c r="A9" t="s">
        <v>47</v>
      </c>
      <c r="B9" s="13">
        <v>-5200</v>
      </c>
    </row>
    <row r="10" spans="1:6" x14ac:dyDescent="0.3">
      <c r="A10" t="s">
        <v>48</v>
      </c>
      <c r="B10" s="13">
        <v>-8750</v>
      </c>
    </row>
    <row r="11" spans="1:6" x14ac:dyDescent="0.3">
      <c r="A11" t="s">
        <v>49</v>
      </c>
      <c r="B11" s="13">
        <v>-12300</v>
      </c>
    </row>
    <row r="12" spans="1:6" x14ac:dyDescent="0.3">
      <c r="A12" t="s">
        <v>50</v>
      </c>
      <c r="B12" s="13">
        <v>-3150</v>
      </c>
    </row>
    <row r="13" spans="1:6" x14ac:dyDescent="0.3">
      <c r="A13" t="s">
        <v>51</v>
      </c>
    </row>
    <row r="14" spans="1:6" x14ac:dyDescent="0.3">
      <c r="A14" t="s">
        <v>52</v>
      </c>
      <c r="B14">
        <v>45600</v>
      </c>
    </row>
    <row r="15" spans="1:6" x14ac:dyDescent="0.3">
      <c r="A15" t="s">
        <v>53</v>
      </c>
      <c r="B15">
        <v>22400</v>
      </c>
    </row>
    <row r="17" spans="1:5" x14ac:dyDescent="0.3">
      <c r="A17" t="s">
        <v>54</v>
      </c>
      <c r="B17">
        <f>B3</f>
        <v>2100000</v>
      </c>
    </row>
    <row r="18" spans="1:5" x14ac:dyDescent="0.3">
      <c r="A18" t="s">
        <v>55</v>
      </c>
      <c r="B18">
        <f>SUM(B14:B15)</f>
        <v>68000</v>
      </c>
    </row>
    <row r="19" spans="1:5" s="1" customFormat="1" x14ac:dyDescent="0.3">
      <c r="A19" t="s">
        <v>56</v>
      </c>
      <c r="B19" s="13">
        <f>-SUM(B9:B12)</f>
        <v>29400</v>
      </c>
    </row>
    <row r="20" spans="1:5" x14ac:dyDescent="0.3">
      <c r="A20" s="1" t="s">
        <v>57</v>
      </c>
      <c r="B20" s="1">
        <f>B17+B18-B19</f>
        <v>2138600</v>
      </c>
    </row>
    <row r="21" spans="1:5" x14ac:dyDescent="0.3">
      <c r="A21" t="s">
        <v>58</v>
      </c>
      <c r="B21">
        <v>2488600</v>
      </c>
    </row>
    <row r="22" spans="1:5" x14ac:dyDescent="0.3">
      <c r="A22" t="s">
        <v>59</v>
      </c>
      <c r="B22">
        <f>B20-B21</f>
        <v>-350000</v>
      </c>
    </row>
    <row r="23" spans="1:5" x14ac:dyDescent="0.3">
      <c r="A23" t="s">
        <v>9</v>
      </c>
      <c r="B23" t="str">
        <f>IF(B22=0,"RECONCILED ✓","INVESTIGATE")</f>
        <v>INVESTIGATE</v>
      </c>
    </row>
    <row r="25" spans="1:5" x14ac:dyDescent="0.3">
      <c r="A25" s="30" t="s">
        <v>60</v>
      </c>
      <c r="B25" s="30"/>
      <c r="C25" s="30"/>
      <c r="D25" s="30"/>
      <c r="E25" s="30"/>
    </row>
    <row r="26" spans="1:5" x14ac:dyDescent="0.3">
      <c r="A26" t="s">
        <v>2</v>
      </c>
      <c r="B26" t="s">
        <v>61</v>
      </c>
      <c r="C26" s="9" t="s">
        <v>62</v>
      </c>
      <c r="D26" s="9" t="s">
        <v>63</v>
      </c>
      <c r="E26" s="11" t="s">
        <v>64</v>
      </c>
    </row>
    <row r="27" spans="1:5" x14ac:dyDescent="0.3">
      <c r="A27" t="s">
        <v>65</v>
      </c>
      <c r="B27" t="s">
        <v>66</v>
      </c>
      <c r="C27" s="9"/>
      <c r="D27" s="9"/>
      <c r="E27" s="10">
        <v>2100000</v>
      </c>
    </row>
    <row r="28" spans="1:5" x14ac:dyDescent="0.3">
      <c r="A28" t="s">
        <v>67</v>
      </c>
      <c r="B28" t="s">
        <v>68</v>
      </c>
      <c r="C28" s="9">
        <v>150000</v>
      </c>
      <c r="D28" s="9"/>
      <c r="E28" s="10">
        <v>1950000</v>
      </c>
    </row>
    <row r="29" spans="1:5" x14ac:dyDescent="0.3">
      <c r="A29" t="s">
        <v>69</v>
      </c>
      <c r="B29" t="s">
        <v>70</v>
      </c>
      <c r="C29" s="9"/>
      <c r="D29" s="9">
        <v>385000</v>
      </c>
      <c r="E29" s="10">
        <v>2335000</v>
      </c>
    </row>
    <row r="30" spans="1:5" x14ac:dyDescent="0.3">
      <c r="A30" t="s">
        <v>71</v>
      </c>
      <c r="B30" t="s">
        <v>72</v>
      </c>
      <c r="C30" s="9"/>
      <c r="D30" s="9">
        <v>225000</v>
      </c>
      <c r="E30" s="10">
        <v>2560000</v>
      </c>
    </row>
    <row r="31" spans="1:5" x14ac:dyDescent="0.3">
      <c r="A31" t="s">
        <v>73</v>
      </c>
      <c r="B31" t="s">
        <v>74</v>
      </c>
      <c r="C31" s="9">
        <v>175000</v>
      </c>
      <c r="D31" s="9"/>
      <c r="E31" s="10">
        <v>238500</v>
      </c>
    </row>
    <row r="32" spans="1:5" x14ac:dyDescent="0.3">
      <c r="A32" t="s">
        <v>75</v>
      </c>
      <c r="B32" t="s">
        <v>76</v>
      </c>
      <c r="C32" s="9"/>
      <c r="D32" s="9">
        <v>2850</v>
      </c>
      <c r="E32" s="10">
        <v>2387850</v>
      </c>
    </row>
    <row r="33" spans="1:5" x14ac:dyDescent="0.3">
      <c r="A33" t="s">
        <v>10</v>
      </c>
      <c r="B33" t="s">
        <v>77</v>
      </c>
      <c r="C33" s="9"/>
      <c r="D33" s="9"/>
      <c r="E33" s="10">
        <v>2450000</v>
      </c>
    </row>
    <row r="36" spans="1:5" x14ac:dyDescent="0.3">
      <c r="A36" s="30" t="s">
        <v>78</v>
      </c>
      <c r="B36" s="30"/>
      <c r="C36" s="30"/>
    </row>
    <row r="37" spans="1:5" x14ac:dyDescent="0.3">
      <c r="A37" s="1" t="s">
        <v>79</v>
      </c>
      <c r="B37" s="12"/>
      <c r="C37" s="12">
        <f>E27</f>
        <v>2100000</v>
      </c>
    </row>
    <row r="38" spans="1:5" x14ac:dyDescent="0.3">
      <c r="A38" s="1" t="s">
        <v>85</v>
      </c>
      <c r="B38" s="12"/>
      <c r="C38" s="12"/>
    </row>
    <row r="39" spans="1:5" x14ac:dyDescent="0.3">
      <c r="A39" t="s">
        <v>80</v>
      </c>
      <c r="B39" s="9">
        <f>D29</f>
        <v>385000</v>
      </c>
      <c r="C39" s="9"/>
    </row>
    <row r="40" spans="1:5" x14ac:dyDescent="0.3">
      <c r="A40" t="s">
        <v>81</v>
      </c>
      <c r="B40" s="9">
        <f>D30</f>
        <v>225000</v>
      </c>
      <c r="C40" s="9"/>
    </row>
    <row r="41" spans="1:5" s="1" customFormat="1" x14ac:dyDescent="0.3">
      <c r="A41" t="s">
        <v>82</v>
      </c>
      <c r="B41" s="9">
        <f>D32</f>
        <v>2850</v>
      </c>
      <c r="C41" s="9"/>
    </row>
    <row r="42" spans="1:5" x14ac:dyDescent="0.3">
      <c r="A42" s="6" t="s">
        <v>83</v>
      </c>
      <c r="B42" s="12"/>
      <c r="C42" s="12">
        <f>SUM(B39:B41)</f>
        <v>612850</v>
      </c>
    </row>
    <row r="43" spans="1:5" x14ac:dyDescent="0.3">
      <c r="B43" s="9"/>
      <c r="C43" s="9"/>
    </row>
    <row r="44" spans="1:5" x14ac:dyDescent="0.3">
      <c r="A44" s="1" t="s">
        <v>84</v>
      </c>
      <c r="B44" s="9"/>
      <c r="C44" s="9"/>
    </row>
    <row r="45" spans="1:5" x14ac:dyDescent="0.3">
      <c r="A45" t="s">
        <v>86</v>
      </c>
      <c r="B45" s="9">
        <f>(E31)</f>
        <v>238500</v>
      </c>
      <c r="C45" s="9"/>
    </row>
    <row r="46" spans="1:5" x14ac:dyDescent="0.3">
      <c r="A46" t="s">
        <v>87</v>
      </c>
      <c r="B46" s="9">
        <f>C28</f>
        <v>150000</v>
      </c>
      <c r="C46" s="9"/>
    </row>
    <row r="47" spans="1:5" x14ac:dyDescent="0.3">
      <c r="A47" t="s">
        <v>88</v>
      </c>
      <c r="B47" s="9">
        <f>C31</f>
        <v>175000</v>
      </c>
      <c r="C47" s="9"/>
    </row>
    <row r="48" spans="1:5" x14ac:dyDescent="0.3">
      <c r="A48" t="s">
        <v>89</v>
      </c>
      <c r="B48" s="9">
        <v>13450</v>
      </c>
      <c r="C48" s="9"/>
    </row>
    <row r="49" spans="1:3" x14ac:dyDescent="0.3">
      <c r="A49" t="s">
        <v>90</v>
      </c>
      <c r="B49" s="9">
        <v>11655</v>
      </c>
      <c r="C49" s="9"/>
    </row>
    <row r="50" spans="1:3" s="1" customFormat="1" x14ac:dyDescent="0.3">
      <c r="A50" t="s">
        <v>91</v>
      </c>
      <c r="B50" s="9">
        <v>35645</v>
      </c>
      <c r="C50" s="9"/>
    </row>
    <row r="51" spans="1:3" x14ac:dyDescent="0.3">
      <c r="A51" s="1" t="s">
        <v>92</v>
      </c>
      <c r="B51" s="12"/>
      <c r="C51" s="12">
        <f>-SUM(B45:B50)</f>
        <v>-624250</v>
      </c>
    </row>
    <row r="52" spans="1:3" s="1" customFormat="1" x14ac:dyDescent="0.3">
      <c r="A52"/>
      <c r="B52" s="9"/>
      <c r="C52" s="9"/>
    </row>
    <row r="53" spans="1:3" x14ac:dyDescent="0.3">
      <c r="A53" s="1" t="s">
        <v>93</v>
      </c>
      <c r="B53" s="1"/>
      <c r="C53" s="12">
        <f>SUM(C37:C51)</f>
        <v>2088600</v>
      </c>
    </row>
  </sheetData>
  <mergeCells count="3">
    <mergeCell ref="A1:F1"/>
    <mergeCell ref="A25:E25"/>
    <mergeCell ref="A36:C36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F4AB-F275-490F-9F90-C9C82649BB5F}">
  <dimension ref="A1:H16"/>
  <sheetViews>
    <sheetView workbookViewId="0">
      <selection activeCell="B13" sqref="B13:B16"/>
    </sheetView>
  </sheetViews>
  <sheetFormatPr defaultRowHeight="14.4" x14ac:dyDescent="0.3"/>
  <cols>
    <col min="1" max="1" width="22.44140625" customWidth="1"/>
    <col min="2" max="2" width="18.88671875" bestFit="1" customWidth="1"/>
    <col min="3" max="3" width="13.21875" bestFit="1" customWidth="1"/>
    <col min="4" max="4" width="8.6640625" bestFit="1" customWidth="1"/>
    <col min="5" max="5" width="10.44140625" bestFit="1" customWidth="1"/>
    <col min="6" max="6" width="15" bestFit="1" customWidth="1"/>
    <col min="7" max="7" width="9.44140625" bestFit="1" customWidth="1"/>
    <col min="8" max="8" width="15" bestFit="1" customWidth="1"/>
  </cols>
  <sheetData>
    <row r="1" spans="1:8" x14ac:dyDescent="0.3">
      <c r="A1" s="31" t="s">
        <v>94</v>
      </c>
      <c r="B1" s="31"/>
      <c r="C1" s="31"/>
      <c r="D1" s="31"/>
      <c r="E1" s="31"/>
      <c r="F1" s="31"/>
      <c r="G1" s="31"/>
      <c r="H1" s="31"/>
    </row>
    <row r="2" spans="1:8" x14ac:dyDescent="0.3">
      <c r="A2" s="31"/>
      <c r="B2" s="31"/>
      <c r="C2" s="31"/>
      <c r="D2" s="31"/>
      <c r="E2" s="31"/>
      <c r="F2" s="31"/>
      <c r="G2" s="31"/>
      <c r="H2" s="31"/>
    </row>
    <row r="4" spans="1:8" x14ac:dyDescent="0.3">
      <c r="A4" t="s">
        <v>95</v>
      </c>
      <c r="B4" t="s">
        <v>61</v>
      </c>
      <c r="C4" t="s">
        <v>96</v>
      </c>
      <c r="D4" t="s">
        <v>97</v>
      </c>
      <c r="E4" t="s">
        <v>98</v>
      </c>
      <c r="F4" t="s">
        <v>99</v>
      </c>
      <c r="G4" t="s">
        <v>100</v>
      </c>
      <c r="H4" t="s">
        <v>101</v>
      </c>
    </row>
    <row r="5" spans="1:8" x14ac:dyDescent="0.3">
      <c r="A5" t="s">
        <v>102</v>
      </c>
      <c r="B5" t="s">
        <v>103</v>
      </c>
      <c r="C5">
        <v>450</v>
      </c>
      <c r="D5">
        <v>850</v>
      </c>
      <c r="E5" s="15">
        <f t="shared" ref="E5:E10" si="0">C5*D5</f>
        <v>382500</v>
      </c>
      <c r="F5">
        <v>2</v>
      </c>
      <c r="G5" s="14">
        <v>0</v>
      </c>
      <c r="H5" s="15">
        <f t="shared" ref="H5:H10" si="1">E5*G5</f>
        <v>0</v>
      </c>
    </row>
    <row r="6" spans="1:8" x14ac:dyDescent="0.3">
      <c r="A6" t="s">
        <v>104</v>
      </c>
      <c r="B6" t="s">
        <v>105</v>
      </c>
      <c r="C6">
        <v>320</v>
      </c>
      <c r="D6">
        <v>1200</v>
      </c>
      <c r="E6" s="15">
        <f t="shared" si="0"/>
        <v>384000</v>
      </c>
      <c r="F6">
        <v>3</v>
      </c>
      <c r="G6" s="14">
        <v>0.05</v>
      </c>
      <c r="H6" s="15">
        <f t="shared" si="1"/>
        <v>19200</v>
      </c>
    </row>
    <row r="7" spans="1:8" x14ac:dyDescent="0.3">
      <c r="A7" t="s">
        <v>106</v>
      </c>
      <c r="B7" t="s">
        <v>107</v>
      </c>
      <c r="C7">
        <v>210</v>
      </c>
      <c r="D7">
        <v>950</v>
      </c>
      <c r="E7" s="15">
        <f t="shared" si="0"/>
        <v>199500</v>
      </c>
      <c r="F7">
        <v>8</v>
      </c>
      <c r="G7" s="14">
        <v>0.25</v>
      </c>
      <c r="H7" s="15">
        <f t="shared" si="1"/>
        <v>49875</v>
      </c>
    </row>
    <row r="8" spans="1:8" x14ac:dyDescent="0.3">
      <c r="A8" t="s">
        <v>108</v>
      </c>
      <c r="B8" t="s">
        <v>109</v>
      </c>
      <c r="C8">
        <v>85</v>
      </c>
      <c r="D8">
        <v>2500</v>
      </c>
      <c r="E8" s="15">
        <f t="shared" si="0"/>
        <v>212500</v>
      </c>
      <c r="F8">
        <v>12</v>
      </c>
      <c r="G8" s="14">
        <v>0.5</v>
      </c>
      <c r="H8" s="15">
        <f t="shared" si="1"/>
        <v>106250</v>
      </c>
    </row>
    <row r="9" spans="1:8" x14ac:dyDescent="0.3">
      <c r="A9" t="s">
        <v>110</v>
      </c>
      <c r="B9" t="s">
        <v>111</v>
      </c>
      <c r="C9">
        <v>1200</v>
      </c>
      <c r="D9">
        <v>150</v>
      </c>
      <c r="E9" s="15">
        <f t="shared" si="0"/>
        <v>180000</v>
      </c>
      <c r="F9">
        <v>6</v>
      </c>
      <c r="G9" s="14">
        <v>0.15</v>
      </c>
      <c r="H9" s="15">
        <f t="shared" si="1"/>
        <v>27000</v>
      </c>
    </row>
    <row r="10" spans="1:8" x14ac:dyDescent="0.3">
      <c r="A10" t="s">
        <v>112</v>
      </c>
      <c r="B10" t="s">
        <v>113</v>
      </c>
      <c r="C10">
        <v>45</v>
      </c>
      <c r="D10">
        <v>3800</v>
      </c>
      <c r="E10" s="15">
        <f t="shared" si="0"/>
        <v>171000</v>
      </c>
      <c r="F10">
        <v>14</v>
      </c>
      <c r="G10" s="14">
        <v>0.75</v>
      </c>
      <c r="H10" s="15">
        <f t="shared" si="1"/>
        <v>128250</v>
      </c>
    </row>
    <row r="12" spans="1:8" x14ac:dyDescent="0.3">
      <c r="A12" t="s">
        <v>114</v>
      </c>
      <c r="B12" t="s">
        <v>119</v>
      </c>
    </row>
    <row r="13" spans="1:8" x14ac:dyDescent="0.3">
      <c r="A13" t="s">
        <v>115</v>
      </c>
      <c r="B13" s="15">
        <f>SUM(E5:E11)</f>
        <v>1529500</v>
      </c>
    </row>
    <row r="14" spans="1:8" x14ac:dyDescent="0.3">
      <c r="A14" t="s">
        <v>116</v>
      </c>
      <c r="B14" s="15">
        <f>SUM(H5:H11)</f>
        <v>330575</v>
      </c>
    </row>
    <row r="15" spans="1:8" x14ac:dyDescent="0.3">
      <c r="A15" t="s">
        <v>117</v>
      </c>
      <c r="B15" s="15">
        <f>B13-B14</f>
        <v>1198925</v>
      </c>
    </row>
    <row r="16" spans="1:8" x14ac:dyDescent="0.3">
      <c r="A16" t="s">
        <v>118</v>
      </c>
      <c r="B16" s="15">
        <f>B15/B14</f>
        <v>3.6267866596082583</v>
      </c>
    </row>
  </sheetData>
  <mergeCells count="1">
    <mergeCell ref="A1:H2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8EA7-4924-4162-B34A-521063CA9C9B}">
  <dimension ref="A1:I25"/>
  <sheetViews>
    <sheetView workbookViewId="0">
      <selection activeCell="E6" sqref="E6"/>
    </sheetView>
  </sheetViews>
  <sheetFormatPr defaultRowHeight="14.4" x14ac:dyDescent="0.3"/>
  <cols>
    <col min="1" max="1" width="36.77734375" bestFit="1" customWidth="1"/>
    <col min="2" max="2" width="13.6640625" bestFit="1" customWidth="1"/>
    <col min="3" max="3" width="18.6640625" bestFit="1" customWidth="1"/>
    <col min="4" max="4" width="19.88671875" bestFit="1" customWidth="1"/>
    <col min="5" max="5" width="4" bestFit="1" customWidth="1"/>
    <col min="6" max="6" width="8.6640625" bestFit="1" customWidth="1"/>
    <col min="7" max="7" width="12.5546875" bestFit="1" customWidth="1"/>
    <col min="8" max="8" width="14.6640625" customWidth="1"/>
    <col min="9" max="9" width="23.21875" bestFit="1" customWidth="1"/>
  </cols>
  <sheetData>
    <row r="1" spans="1:9" x14ac:dyDescent="0.3">
      <c r="A1" s="32" t="s">
        <v>120</v>
      </c>
      <c r="B1" s="31"/>
      <c r="C1" s="31"/>
      <c r="D1" s="31"/>
      <c r="E1" s="31"/>
      <c r="F1" s="31"/>
      <c r="G1" s="31"/>
      <c r="H1" s="31"/>
      <c r="I1" s="31"/>
    </row>
    <row r="2" spans="1:9" x14ac:dyDescent="0.3">
      <c r="A2" s="31"/>
      <c r="B2" s="31"/>
      <c r="C2" s="31"/>
      <c r="D2" s="31"/>
      <c r="E2" s="31"/>
      <c r="F2" s="31"/>
      <c r="G2" s="31"/>
      <c r="H2" s="31"/>
      <c r="I2" s="31"/>
    </row>
    <row r="4" spans="1:9" x14ac:dyDescent="0.3">
      <c r="A4" t="s">
        <v>121</v>
      </c>
      <c r="B4" t="s">
        <v>122</v>
      </c>
      <c r="C4" t="s">
        <v>123</v>
      </c>
      <c r="D4" t="s">
        <v>61</v>
      </c>
      <c r="E4" t="s">
        <v>124</v>
      </c>
      <c r="F4" t="s">
        <v>97</v>
      </c>
      <c r="G4" t="s">
        <v>125</v>
      </c>
      <c r="H4" t="s">
        <v>126</v>
      </c>
      <c r="I4" t="s">
        <v>127</v>
      </c>
    </row>
    <row r="5" spans="1:9" x14ac:dyDescent="0.3">
      <c r="A5" t="s">
        <v>71</v>
      </c>
      <c r="B5" t="s">
        <v>128</v>
      </c>
      <c r="C5" t="s">
        <v>129</v>
      </c>
      <c r="D5" t="s">
        <v>130</v>
      </c>
      <c r="E5">
        <v>5</v>
      </c>
      <c r="F5">
        <v>850</v>
      </c>
      <c r="G5" s="15">
        <f t="shared" ref="G5:G10" si="0">E5*F5</f>
        <v>4250</v>
      </c>
      <c r="H5" t="s">
        <v>131</v>
      </c>
      <c r="I5" t="s">
        <v>132</v>
      </c>
    </row>
    <row r="6" spans="1:9" x14ac:dyDescent="0.3">
      <c r="A6" t="s">
        <v>133</v>
      </c>
      <c r="B6" t="s">
        <v>134</v>
      </c>
      <c r="C6" t="s">
        <v>135</v>
      </c>
      <c r="D6" t="s">
        <v>136</v>
      </c>
      <c r="E6">
        <v>2</v>
      </c>
      <c r="F6">
        <v>1200</v>
      </c>
      <c r="G6" s="15">
        <f t="shared" si="0"/>
        <v>2400</v>
      </c>
      <c r="H6" t="s">
        <v>131</v>
      </c>
      <c r="I6" t="s">
        <v>137</v>
      </c>
    </row>
    <row r="7" spans="1:9" x14ac:dyDescent="0.3">
      <c r="A7" t="s">
        <v>73</v>
      </c>
      <c r="B7" t="s">
        <v>138</v>
      </c>
      <c r="C7" t="s">
        <v>139</v>
      </c>
      <c r="D7" t="s">
        <v>140</v>
      </c>
      <c r="E7">
        <v>3</v>
      </c>
      <c r="F7">
        <v>950</v>
      </c>
      <c r="G7" s="15">
        <f t="shared" si="0"/>
        <v>2850</v>
      </c>
      <c r="H7" t="s">
        <v>141</v>
      </c>
      <c r="I7" t="s">
        <v>142</v>
      </c>
    </row>
    <row r="8" spans="1:9" x14ac:dyDescent="0.3">
      <c r="A8" t="s">
        <v>143</v>
      </c>
      <c r="B8" t="s">
        <v>144</v>
      </c>
      <c r="C8" t="s">
        <v>145</v>
      </c>
      <c r="D8" t="s">
        <v>113</v>
      </c>
      <c r="E8">
        <v>1</v>
      </c>
      <c r="F8">
        <v>3800</v>
      </c>
      <c r="G8" s="15">
        <f t="shared" si="0"/>
        <v>3800</v>
      </c>
      <c r="H8" t="s">
        <v>131</v>
      </c>
      <c r="I8" t="s">
        <v>146</v>
      </c>
    </row>
    <row r="9" spans="1:9" x14ac:dyDescent="0.3">
      <c r="A9" t="s">
        <v>147</v>
      </c>
      <c r="B9" t="s">
        <v>148</v>
      </c>
      <c r="C9" t="s">
        <v>129</v>
      </c>
      <c r="D9" t="s">
        <v>149</v>
      </c>
      <c r="E9">
        <v>8</v>
      </c>
      <c r="F9">
        <v>150</v>
      </c>
      <c r="G9" s="15">
        <f t="shared" si="0"/>
        <v>1200</v>
      </c>
      <c r="H9" t="s">
        <v>131</v>
      </c>
      <c r="I9" t="s">
        <v>150</v>
      </c>
    </row>
    <row r="10" spans="1:9" x14ac:dyDescent="0.3">
      <c r="A10" t="s">
        <v>75</v>
      </c>
      <c r="B10" t="s">
        <v>151</v>
      </c>
      <c r="C10" t="s">
        <v>152</v>
      </c>
      <c r="D10" t="s">
        <v>140</v>
      </c>
      <c r="E10">
        <v>4</v>
      </c>
      <c r="F10">
        <v>920</v>
      </c>
      <c r="G10" s="15">
        <f t="shared" si="0"/>
        <v>3680</v>
      </c>
      <c r="H10" t="s">
        <v>141</v>
      </c>
      <c r="I10" t="s">
        <v>153</v>
      </c>
    </row>
    <row r="12" spans="1:9" x14ac:dyDescent="0.3">
      <c r="A12" t="s">
        <v>154</v>
      </c>
      <c r="B12" t="s">
        <v>119</v>
      </c>
    </row>
    <row r="13" spans="1:9" x14ac:dyDescent="0.3">
      <c r="A13" t="s">
        <v>155</v>
      </c>
      <c r="B13" s="15">
        <f>SUM(G5:G10)</f>
        <v>18180</v>
      </c>
    </row>
    <row r="14" spans="1:9" x14ac:dyDescent="0.3">
      <c r="A14" t="s">
        <v>156</v>
      </c>
      <c r="B14" s="15">
        <f>SUMIF(H5:H10,"Not Yet Invoiced",G5:G10)</f>
        <v>6530</v>
      </c>
    </row>
    <row r="15" spans="1:9" x14ac:dyDescent="0.3">
      <c r="A15" t="s">
        <v>157</v>
      </c>
      <c r="B15" s="15">
        <f>B13-B14</f>
        <v>11650</v>
      </c>
    </row>
    <row r="16" spans="1:9" x14ac:dyDescent="0.3">
      <c r="A16" t="s">
        <v>158</v>
      </c>
      <c r="B16" s="15">
        <v>285000</v>
      </c>
    </row>
    <row r="17" spans="1:4" x14ac:dyDescent="0.3">
      <c r="A17" t="s">
        <v>159</v>
      </c>
      <c r="B17" s="15">
        <f>B15-B16</f>
        <v>-273350</v>
      </c>
    </row>
    <row r="18" spans="1:4" x14ac:dyDescent="0.3">
      <c r="A18" t="s">
        <v>9</v>
      </c>
      <c r="B18" s="15" t="str">
        <f>IF(B19=0,"RECONCILED ✓","VARIANCE")</f>
        <v>RECONCILED ✓</v>
      </c>
    </row>
    <row r="20" spans="1:4" x14ac:dyDescent="0.3">
      <c r="A20" t="s">
        <v>160</v>
      </c>
      <c r="B20" t="s">
        <v>161</v>
      </c>
      <c r="C20" t="s">
        <v>162</v>
      </c>
      <c r="D20" t="s">
        <v>163</v>
      </c>
    </row>
    <row r="21" spans="1:4" x14ac:dyDescent="0.3">
      <c r="A21" t="s">
        <v>164</v>
      </c>
      <c r="B21">
        <v>5</v>
      </c>
      <c r="C21">
        <v>12350</v>
      </c>
      <c r="D21" s="25">
        <f>Table11[[#This Row],[Amount]]/$C$25</f>
        <v>0.62216624685138544</v>
      </c>
    </row>
    <row r="22" spans="1:4" x14ac:dyDescent="0.3">
      <c r="A22" t="s">
        <v>165</v>
      </c>
      <c r="B22">
        <v>2</v>
      </c>
      <c r="C22">
        <v>5400</v>
      </c>
      <c r="D22" s="25">
        <f>Table11[[#This Row],[Amount]]/$C$25</f>
        <v>0.27204030226700254</v>
      </c>
    </row>
    <row r="23" spans="1:4" x14ac:dyDescent="0.3">
      <c r="A23" t="s">
        <v>166</v>
      </c>
      <c r="B23">
        <v>1</v>
      </c>
      <c r="C23">
        <v>2100</v>
      </c>
      <c r="D23" s="25">
        <f>Table11[[#This Row],[Amount]]/$C$25</f>
        <v>0.10579345088161209</v>
      </c>
    </row>
    <row r="24" spans="1:4" x14ac:dyDescent="0.3">
      <c r="A24" t="s">
        <v>167</v>
      </c>
      <c r="B24">
        <v>0</v>
      </c>
      <c r="C24">
        <v>0</v>
      </c>
      <c r="D24" s="25">
        <f>Table11[[#This Row],[Amount]]/$C$25</f>
        <v>0</v>
      </c>
    </row>
    <row r="25" spans="1:4" s="15" customFormat="1" x14ac:dyDescent="0.3">
      <c r="A25" s="15" t="s">
        <v>168</v>
      </c>
      <c r="B25" s="15">
        <f ca="1">SUM(B24:B27)</f>
        <v>0</v>
      </c>
      <c r="C25" s="15">
        <f>SUM(C21:C24)</f>
        <v>19850</v>
      </c>
      <c r="D25" s="25">
        <f>Table11[[#This Row],[Amount]]/$C$25</f>
        <v>1</v>
      </c>
    </row>
  </sheetData>
  <mergeCells count="1">
    <mergeCell ref="A1:I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8F91-4F4C-4822-A4F9-23CA8EE98EC2}">
  <dimension ref="A1:H25"/>
  <sheetViews>
    <sheetView topLeftCell="A4" workbookViewId="0">
      <selection activeCell="F8" sqref="F8"/>
    </sheetView>
  </sheetViews>
  <sheetFormatPr defaultRowHeight="14.4" x14ac:dyDescent="0.3"/>
  <cols>
    <col min="1" max="1" width="28.5546875" customWidth="1"/>
    <col min="2" max="2" width="16.44140625" customWidth="1"/>
    <col min="3" max="3" width="12.109375" bestFit="1" customWidth="1"/>
    <col min="4" max="4" width="15.44140625" customWidth="1"/>
    <col min="5" max="5" width="11.109375" bestFit="1" customWidth="1"/>
    <col min="6" max="6" width="9" bestFit="1" customWidth="1"/>
    <col min="7" max="7" width="9.88671875" bestFit="1" customWidth="1"/>
    <col min="8" max="8" width="10.5546875" bestFit="1" customWidth="1"/>
  </cols>
  <sheetData>
    <row r="1" spans="1:8" x14ac:dyDescent="0.3">
      <c r="A1" s="33" t="s">
        <v>169</v>
      </c>
      <c r="B1" s="31"/>
      <c r="C1" s="31"/>
      <c r="D1" s="31"/>
      <c r="E1" s="31"/>
      <c r="F1" s="31"/>
      <c r="G1" s="31"/>
      <c r="H1" s="31"/>
    </row>
    <row r="2" spans="1:8" x14ac:dyDescent="0.3">
      <c r="A2" s="31"/>
      <c r="B2" s="31"/>
      <c r="C2" s="31"/>
      <c r="D2" s="31"/>
      <c r="E2" s="31"/>
      <c r="F2" s="31"/>
      <c r="G2" s="31"/>
      <c r="H2" s="31"/>
    </row>
    <row r="4" spans="1:8" x14ac:dyDescent="0.3">
      <c r="A4" s="30" t="s">
        <v>170</v>
      </c>
      <c r="B4" s="30"/>
      <c r="C4" s="30"/>
      <c r="D4" s="30"/>
      <c r="E4" s="30"/>
      <c r="F4" s="30"/>
      <c r="G4" s="30"/>
      <c r="H4" s="30"/>
    </row>
    <row r="6" spans="1:8" s="1" customFormat="1" x14ac:dyDescent="0.3">
      <c r="A6" s="1" t="s">
        <v>171</v>
      </c>
      <c r="B6" s="1" t="s">
        <v>172</v>
      </c>
      <c r="C6" s="1" t="s">
        <v>173</v>
      </c>
      <c r="D6" s="1" t="s">
        <v>174</v>
      </c>
      <c r="E6" s="1" t="s">
        <v>175</v>
      </c>
      <c r="F6" s="1" t="s">
        <v>176</v>
      </c>
      <c r="G6" s="1" t="s">
        <v>177</v>
      </c>
      <c r="H6" s="1" t="s">
        <v>4</v>
      </c>
    </row>
    <row r="7" spans="1:8" x14ac:dyDescent="0.3">
      <c r="A7" t="s">
        <v>67</v>
      </c>
      <c r="B7" t="s">
        <v>178</v>
      </c>
      <c r="C7" t="s">
        <v>179</v>
      </c>
      <c r="D7">
        <v>794823</v>
      </c>
      <c r="E7">
        <v>2500</v>
      </c>
      <c r="F7" s="8">
        <v>875</v>
      </c>
      <c r="G7" s="24">
        <f>F7/E7</f>
        <v>0.35</v>
      </c>
      <c r="H7">
        <v>6400</v>
      </c>
    </row>
    <row r="8" spans="1:8" x14ac:dyDescent="0.3">
      <c r="A8" t="s">
        <v>180</v>
      </c>
      <c r="B8" t="s">
        <v>181</v>
      </c>
      <c r="C8" t="s">
        <v>182</v>
      </c>
      <c r="D8">
        <v>458293</v>
      </c>
      <c r="E8">
        <v>5000</v>
      </c>
      <c r="F8" s="8">
        <v>1650</v>
      </c>
      <c r="G8" s="24">
        <f t="shared" ref="G8:G12" si="0">F8/E8</f>
        <v>0.33</v>
      </c>
      <c r="H8">
        <v>6400</v>
      </c>
    </row>
    <row r="9" spans="1:8" x14ac:dyDescent="0.3">
      <c r="A9" t="s">
        <v>183</v>
      </c>
      <c r="B9" t="s">
        <v>184</v>
      </c>
      <c r="C9" t="s">
        <v>185</v>
      </c>
      <c r="D9">
        <v>738291</v>
      </c>
      <c r="E9">
        <v>3200</v>
      </c>
      <c r="F9" s="8">
        <v>1120</v>
      </c>
      <c r="G9" s="24">
        <f t="shared" si="0"/>
        <v>0.35</v>
      </c>
      <c r="H9">
        <v>6400</v>
      </c>
    </row>
    <row r="10" spans="1:8" x14ac:dyDescent="0.3">
      <c r="A10" t="s">
        <v>71</v>
      </c>
      <c r="B10" t="s">
        <v>186</v>
      </c>
      <c r="C10" t="s">
        <v>187</v>
      </c>
      <c r="D10">
        <v>582947</v>
      </c>
      <c r="E10">
        <v>4500</v>
      </c>
      <c r="F10" s="8">
        <v>1575</v>
      </c>
      <c r="G10" s="24">
        <f t="shared" si="0"/>
        <v>0.35</v>
      </c>
      <c r="H10">
        <v>6400</v>
      </c>
    </row>
    <row r="11" spans="1:8" x14ac:dyDescent="0.3">
      <c r="A11" t="s">
        <v>73</v>
      </c>
      <c r="B11" t="s">
        <v>188</v>
      </c>
      <c r="C11" t="s">
        <v>189</v>
      </c>
      <c r="D11">
        <v>384758</v>
      </c>
      <c r="E11">
        <v>6000</v>
      </c>
      <c r="F11" s="8">
        <v>2100</v>
      </c>
      <c r="G11" s="24">
        <f t="shared" si="0"/>
        <v>0.35</v>
      </c>
      <c r="H11">
        <v>6400</v>
      </c>
    </row>
    <row r="12" spans="1:8" x14ac:dyDescent="0.3">
      <c r="A12" t="s">
        <v>75</v>
      </c>
      <c r="B12" t="s">
        <v>190</v>
      </c>
      <c r="C12" t="s">
        <v>182</v>
      </c>
      <c r="D12">
        <v>293847</v>
      </c>
      <c r="E12">
        <v>3800</v>
      </c>
      <c r="F12" s="8">
        <v>1330</v>
      </c>
      <c r="G12" s="24">
        <f t="shared" si="0"/>
        <v>0.35</v>
      </c>
      <c r="H12">
        <v>6400</v>
      </c>
    </row>
    <row r="14" spans="1:8" x14ac:dyDescent="0.3">
      <c r="A14" t="s">
        <v>173</v>
      </c>
      <c r="B14" t="s">
        <v>191</v>
      </c>
      <c r="C14" t="s">
        <v>192</v>
      </c>
      <c r="D14" t="s">
        <v>193</v>
      </c>
    </row>
    <row r="15" spans="1:8" x14ac:dyDescent="0.3">
      <c r="A15" t="s">
        <v>179</v>
      </c>
      <c r="B15" s="15">
        <f>COUNTIF(Table12[Carrier],$A15)</f>
        <v>1</v>
      </c>
      <c r="C15" s="24">
        <f>SUMIF(C7:C12,$A15,F7:F12)</f>
        <v>875</v>
      </c>
      <c r="D15" s="24">
        <f>_xlfn.XLOOKUP(A15,Table12[Carrier],Table12[Cost per lb],"",1)</f>
        <v>0.35</v>
      </c>
    </row>
    <row r="16" spans="1:8" x14ac:dyDescent="0.3">
      <c r="A16" t="s">
        <v>182</v>
      </c>
      <c r="B16" s="15">
        <f>COUNTIF(Table12[Carrier],$A16)</f>
        <v>2</v>
      </c>
      <c r="C16" s="24">
        <f t="shared" ref="C16:C19" si="1">SUMIF(C8:C13,$A16,F8:F13)</f>
        <v>2980</v>
      </c>
      <c r="D16" s="24">
        <f>_xlfn.XLOOKUP(A16,Table12[Carrier],Table12[Cost per lb],"",1)</f>
        <v>0.33</v>
      </c>
    </row>
    <row r="17" spans="1:4" x14ac:dyDescent="0.3">
      <c r="A17" t="s">
        <v>185</v>
      </c>
      <c r="B17" s="15">
        <f>COUNTIF(Table12[Carrier],$A17)</f>
        <v>1</v>
      </c>
      <c r="C17" s="24">
        <f t="shared" si="1"/>
        <v>1120</v>
      </c>
      <c r="D17" s="24">
        <f>_xlfn.XLOOKUP(A17,Table12[Carrier],Table12[Cost per lb],"",1)</f>
        <v>0.35</v>
      </c>
    </row>
    <row r="18" spans="1:4" x14ac:dyDescent="0.3">
      <c r="A18" t="s">
        <v>187</v>
      </c>
      <c r="B18" s="15">
        <f>COUNTIF(Table12[Carrier],$A18)</f>
        <v>1</v>
      </c>
      <c r="C18" s="24">
        <f t="shared" si="1"/>
        <v>1575</v>
      </c>
      <c r="D18" s="24">
        <f>_xlfn.XLOOKUP(A18,Table12[Carrier],Table12[Cost per lb],"",1)</f>
        <v>0.35</v>
      </c>
    </row>
    <row r="19" spans="1:4" x14ac:dyDescent="0.3">
      <c r="A19" t="s">
        <v>189</v>
      </c>
      <c r="B19" s="15">
        <f>COUNTIF(Table12[Carrier],$A19)</f>
        <v>1</v>
      </c>
      <c r="C19" s="24">
        <f t="shared" si="1"/>
        <v>2100</v>
      </c>
      <c r="D19" s="24">
        <f>_xlfn.XLOOKUP(A19,Table12[Carrier],Table12[Cost per lb],"",1)</f>
        <v>0.35</v>
      </c>
    </row>
    <row r="21" spans="1:4" x14ac:dyDescent="0.3">
      <c r="A21" t="s">
        <v>194</v>
      </c>
      <c r="B21" t="s">
        <v>37</v>
      </c>
    </row>
    <row r="22" spans="1:4" x14ac:dyDescent="0.3">
      <c r="A22" t="s">
        <v>191</v>
      </c>
      <c r="B22" s="15">
        <f>COUNTA(A7:A12)</f>
        <v>6</v>
      </c>
    </row>
    <row r="23" spans="1:4" x14ac:dyDescent="0.3">
      <c r="A23" t="s">
        <v>195</v>
      </c>
      <c r="B23" s="15">
        <f>SUM(E7:E12)</f>
        <v>25000</v>
      </c>
    </row>
    <row r="24" spans="1:4" x14ac:dyDescent="0.3">
      <c r="A24" t="s">
        <v>196</v>
      </c>
      <c r="B24" s="15">
        <f>SUM(F7:F12)</f>
        <v>8650</v>
      </c>
    </row>
    <row r="25" spans="1:4" x14ac:dyDescent="0.3">
      <c r="A25" t="s">
        <v>197</v>
      </c>
      <c r="B25" s="24">
        <f>B24/B23</f>
        <v>0.34599999999999997</v>
      </c>
    </row>
  </sheetData>
  <mergeCells count="2">
    <mergeCell ref="A1:H2"/>
    <mergeCell ref="A4:H4"/>
  </mergeCells>
  <conditionalFormatting sqref="D15:D1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BD9F-91E4-480F-80F1-C03A2D0A28EC}">
  <dimension ref="A1:H19"/>
  <sheetViews>
    <sheetView workbookViewId="0">
      <selection activeCell="E15" sqref="E15"/>
    </sheetView>
  </sheetViews>
  <sheetFormatPr defaultRowHeight="14.4" x14ac:dyDescent="0.3"/>
  <cols>
    <col min="1" max="1" width="21.5546875" bestFit="1" customWidth="1"/>
    <col min="2" max="2" width="13.21875" bestFit="1" customWidth="1"/>
    <col min="3" max="7" width="12.33203125" bestFit="1" customWidth="1"/>
    <col min="8" max="8" width="10.33203125" bestFit="1" customWidth="1"/>
  </cols>
  <sheetData>
    <row r="1" spans="1:8" x14ac:dyDescent="0.3">
      <c r="A1" s="30" t="s">
        <v>198</v>
      </c>
      <c r="B1" s="34"/>
      <c r="C1" s="34"/>
      <c r="D1" s="34"/>
      <c r="E1" s="34"/>
      <c r="F1" s="34"/>
      <c r="G1" s="34"/>
    </row>
    <row r="3" spans="1:8" x14ac:dyDescent="0.3">
      <c r="A3" t="s">
        <v>199</v>
      </c>
      <c r="B3" t="s">
        <v>200</v>
      </c>
      <c r="C3" t="s">
        <v>201</v>
      </c>
      <c r="D3" t="s">
        <v>202</v>
      </c>
      <c r="E3" t="s">
        <v>203</v>
      </c>
      <c r="F3" t="s">
        <v>204</v>
      </c>
      <c r="G3" t="s">
        <v>205</v>
      </c>
      <c r="H3" t="s">
        <v>210</v>
      </c>
    </row>
    <row r="4" spans="1:8" x14ac:dyDescent="0.3">
      <c r="A4" t="s">
        <v>140</v>
      </c>
      <c r="B4">
        <v>145000</v>
      </c>
      <c r="C4">
        <v>138500</v>
      </c>
      <c r="D4">
        <v>142200</v>
      </c>
      <c r="E4">
        <v>140300</v>
      </c>
      <c r="F4" s="15">
        <f>SUM(B4:E4)</f>
        <v>566000</v>
      </c>
      <c r="G4">
        <v>560000</v>
      </c>
      <c r="H4" s="15">
        <f>Table16[[#This Row],[Month Total]]-Table16[[#This Row],[Budget]]</f>
        <v>6000</v>
      </c>
    </row>
    <row r="5" spans="1:8" x14ac:dyDescent="0.3">
      <c r="A5" t="s">
        <v>206</v>
      </c>
      <c r="B5">
        <v>58750</v>
      </c>
      <c r="C5">
        <v>62000</v>
      </c>
      <c r="D5">
        <v>61250</v>
      </c>
      <c r="E5">
        <v>56500</v>
      </c>
      <c r="F5" s="15">
        <f t="shared" ref="F5:F10" si="0">SUM(B5:E5)</f>
        <v>238500</v>
      </c>
      <c r="G5">
        <v>240000</v>
      </c>
      <c r="H5" s="15">
        <f>Table16[[#This Row],[Month Total]]-Table16[[#This Row],[Budget]]</f>
        <v>-1500</v>
      </c>
    </row>
    <row r="6" spans="1:8" x14ac:dyDescent="0.3">
      <c r="A6" t="s">
        <v>21</v>
      </c>
      <c r="B6">
        <v>21800</v>
      </c>
      <c r="C6">
        <v>22100</v>
      </c>
      <c r="D6">
        <v>21950</v>
      </c>
      <c r="E6">
        <v>21400</v>
      </c>
      <c r="F6" s="15">
        <f t="shared" si="0"/>
        <v>87250</v>
      </c>
      <c r="G6">
        <v>87250</v>
      </c>
      <c r="H6" s="15">
        <f>Table16[[#This Row],[Month Total]]-Table16[[#This Row],[Budget]]</f>
        <v>0</v>
      </c>
    </row>
    <row r="7" spans="1:8" x14ac:dyDescent="0.3">
      <c r="A7" t="s">
        <v>207</v>
      </c>
      <c r="B7">
        <v>4200</v>
      </c>
      <c r="C7">
        <v>4350</v>
      </c>
      <c r="D7">
        <v>4180</v>
      </c>
      <c r="E7">
        <v>4100</v>
      </c>
      <c r="F7" s="15">
        <f t="shared" si="0"/>
        <v>16830</v>
      </c>
      <c r="G7">
        <v>17000</v>
      </c>
      <c r="H7" s="15">
        <f>Table16[[#This Row],[Month Total]]-Table16[[#This Row],[Budget]]</f>
        <v>-170</v>
      </c>
    </row>
    <row r="8" spans="1:8" x14ac:dyDescent="0.3">
      <c r="A8" t="s">
        <v>208</v>
      </c>
      <c r="B8">
        <v>3500</v>
      </c>
      <c r="C8">
        <v>2800</v>
      </c>
      <c r="D8">
        <v>4200</v>
      </c>
      <c r="E8">
        <v>3100</v>
      </c>
      <c r="F8" s="15">
        <f t="shared" si="0"/>
        <v>13600</v>
      </c>
      <c r="G8">
        <v>14000</v>
      </c>
      <c r="H8" s="15">
        <f>Table16[[#This Row],[Month Total]]-Table16[[#This Row],[Budget]]</f>
        <v>-400</v>
      </c>
    </row>
    <row r="9" spans="1:8" x14ac:dyDescent="0.3">
      <c r="A9" t="s">
        <v>29</v>
      </c>
      <c r="B9">
        <v>1500</v>
      </c>
      <c r="C9">
        <v>2800</v>
      </c>
      <c r="D9">
        <v>3450</v>
      </c>
      <c r="E9">
        <v>4000</v>
      </c>
      <c r="F9" s="15">
        <f t="shared" si="0"/>
        <v>11750</v>
      </c>
      <c r="G9">
        <v>12000</v>
      </c>
      <c r="H9" s="15">
        <f>Table16[[#This Row],[Month Total]]-Table16[[#This Row],[Budget]]</f>
        <v>-250</v>
      </c>
    </row>
    <row r="10" spans="1:8" x14ac:dyDescent="0.3">
      <c r="A10" t="s">
        <v>209</v>
      </c>
      <c r="B10">
        <v>2150</v>
      </c>
      <c r="C10">
        <v>2400</v>
      </c>
      <c r="D10">
        <v>2300</v>
      </c>
      <c r="E10">
        <v>2250</v>
      </c>
      <c r="F10" s="15">
        <f t="shared" si="0"/>
        <v>9100</v>
      </c>
      <c r="G10">
        <v>9500</v>
      </c>
      <c r="H10" s="15">
        <f>Table16[[#This Row],[Month Total]]-Table16[[#This Row],[Budget]]</f>
        <v>-400</v>
      </c>
    </row>
    <row r="11" spans="1:8" s="7" customFormat="1" x14ac:dyDescent="0.3">
      <c r="A11" s="22" t="s">
        <v>32</v>
      </c>
      <c r="B11" s="22">
        <f>SUM(B4:B10)</f>
        <v>236900</v>
      </c>
      <c r="C11" s="22">
        <f t="shared" ref="C11:H11" si="1">SUM(C4:C10)</f>
        <v>234950</v>
      </c>
      <c r="D11" s="22">
        <f t="shared" si="1"/>
        <v>239530</v>
      </c>
      <c r="E11" s="22">
        <f t="shared" si="1"/>
        <v>231650</v>
      </c>
      <c r="F11" s="22">
        <f t="shared" si="1"/>
        <v>943030</v>
      </c>
      <c r="G11" s="22">
        <f t="shared" si="1"/>
        <v>939750</v>
      </c>
      <c r="H11" s="22">
        <f t="shared" si="1"/>
        <v>3280</v>
      </c>
    </row>
    <row r="13" spans="1:8" x14ac:dyDescent="0.3">
      <c r="A13" t="s">
        <v>211</v>
      </c>
      <c r="B13" s="15">
        <f>SUM(F4:F11)</f>
        <v>1886060</v>
      </c>
    </row>
    <row r="14" spans="1:8" x14ac:dyDescent="0.3">
      <c r="A14" t="s">
        <v>212</v>
      </c>
      <c r="B14" s="20">
        <f>G11/F11</f>
        <v>0.99652184978208536</v>
      </c>
    </row>
    <row r="15" spans="1:8" x14ac:dyDescent="0.3">
      <c r="A15" t="s">
        <v>213</v>
      </c>
      <c r="B15" s="15">
        <f>H11</f>
        <v>3280</v>
      </c>
    </row>
    <row r="16" spans="1:8" x14ac:dyDescent="0.3">
      <c r="A16" t="s">
        <v>214</v>
      </c>
      <c r="B16" s="22">
        <f>MAX(B11:E11)</f>
        <v>239530</v>
      </c>
    </row>
    <row r="17" spans="1:2" x14ac:dyDescent="0.3">
      <c r="A17" t="s">
        <v>215</v>
      </c>
      <c r="B17" s="22">
        <f>MIN(B11:E11)</f>
        <v>231650</v>
      </c>
    </row>
    <row r="18" spans="1:2" x14ac:dyDescent="0.3">
      <c r="A18" t="s">
        <v>216</v>
      </c>
      <c r="B18" s="23">
        <f>AVERAGE(B11:E11)</f>
        <v>235757.5</v>
      </c>
    </row>
    <row r="19" spans="1:2" x14ac:dyDescent="0.3">
      <c r="A19" t="s">
        <v>217</v>
      </c>
      <c r="B19" s="15" t="s">
        <v>218</v>
      </c>
    </row>
  </sheetData>
  <mergeCells count="1">
    <mergeCell ref="A1:G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F880-1FED-4016-BB4D-C2C5E61FC776}">
  <dimension ref="A1:H18"/>
  <sheetViews>
    <sheetView workbookViewId="0">
      <selection activeCell="E15" sqref="E15"/>
    </sheetView>
  </sheetViews>
  <sheetFormatPr defaultRowHeight="14.4" x14ac:dyDescent="0.3"/>
  <cols>
    <col min="1" max="1" width="12.77734375" bestFit="1" customWidth="1"/>
    <col min="2" max="2" width="21.5546875" bestFit="1" customWidth="1"/>
    <col min="3" max="3" width="15.88671875" bestFit="1" customWidth="1"/>
    <col min="4" max="4" width="13.6640625" customWidth="1"/>
    <col min="5" max="5" width="13.5546875" bestFit="1" customWidth="1"/>
    <col min="6" max="6" width="12.109375" bestFit="1" customWidth="1"/>
    <col min="7" max="7" width="12.6640625" bestFit="1" customWidth="1"/>
    <col min="8" max="8" width="13.44140625" bestFit="1" customWidth="1"/>
  </cols>
  <sheetData>
    <row r="1" spans="1:8" x14ac:dyDescent="0.3">
      <c r="A1" s="30" t="s">
        <v>219</v>
      </c>
      <c r="B1" s="34"/>
      <c r="C1" s="34"/>
      <c r="D1" s="34"/>
      <c r="E1" s="34"/>
      <c r="F1" s="34"/>
      <c r="G1" s="34"/>
      <c r="H1" s="34"/>
    </row>
    <row r="2" spans="1:8" x14ac:dyDescent="0.3">
      <c r="A2" s="1" t="s">
        <v>220</v>
      </c>
    </row>
    <row r="4" spans="1:8" x14ac:dyDescent="0.3">
      <c r="A4" t="s">
        <v>4</v>
      </c>
      <c r="B4" t="s">
        <v>221</v>
      </c>
      <c r="C4" t="s">
        <v>222</v>
      </c>
      <c r="D4" t="s">
        <v>223</v>
      </c>
      <c r="E4" t="s">
        <v>224</v>
      </c>
      <c r="F4" t="s">
        <v>225</v>
      </c>
      <c r="G4" t="s">
        <v>226</v>
      </c>
      <c r="H4" t="s">
        <v>9</v>
      </c>
    </row>
    <row r="5" spans="1:8" x14ac:dyDescent="0.3">
      <c r="A5">
        <v>6100</v>
      </c>
      <c r="B5" t="s">
        <v>206</v>
      </c>
      <c r="C5" s="9">
        <v>2880000</v>
      </c>
      <c r="D5" s="9">
        <v>2880000</v>
      </c>
      <c r="E5" s="9">
        <v>2847500</v>
      </c>
      <c r="F5" s="18">
        <f>E5-D5</f>
        <v>-32500</v>
      </c>
      <c r="G5" s="20">
        <f>F5/D5</f>
        <v>-1.1284722222222222E-2</v>
      </c>
      <c r="H5" s="15" t="str">
        <f>IF(ABS(G5)&lt;=2%,"ON TARGET",IF(G5&lt;0,"FAVORABLE","UNFAVORABLE"))</f>
        <v>ON TARGET</v>
      </c>
    </row>
    <row r="6" spans="1:8" x14ac:dyDescent="0.3">
      <c r="A6">
        <v>6200</v>
      </c>
      <c r="B6" t="s">
        <v>140</v>
      </c>
      <c r="C6" s="9">
        <v>6720000</v>
      </c>
      <c r="D6" s="9">
        <v>6720000</v>
      </c>
      <c r="E6" s="9">
        <v>6845200</v>
      </c>
      <c r="F6" s="18">
        <f t="shared" ref="F6:F13" si="0">E6-D6</f>
        <v>125200</v>
      </c>
      <c r="G6" s="20">
        <f t="shared" ref="G6:G13" si="1">F6/D6</f>
        <v>1.863095238095238E-2</v>
      </c>
      <c r="H6" s="15" t="str">
        <f t="shared" ref="H6:H12" si="2">IF(ABS(G6)&lt;=2%,"ON TARGET",IF(G6&lt;0,"FAVORABLE","UNFAVORABLE"))</f>
        <v>ON TARGET</v>
      </c>
    </row>
    <row r="7" spans="1:8" x14ac:dyDescent="0.3">
      <c r="A7">
        <v>6300</v>
      </c>
      <c r="B7" t="s">
        <v>227</v>
      </c>
      <c r="C7" s="9">
        <v>510000</v>
      </c>
      <c r="D7" s="9">
        <v>510000</v>
      </c>
      <c r="E7" s="9">
        <v>510000</v>
      </c>
      <c r="F7" s="18">
        <f t="shared" si="0"/>
        <v>0</v>
      </c>
      <c r="G7" s="20">
        <f t="shared" si="1"/>
        <v>0</v>
      </c>
      <c r="H7" s="15" t="str">
        <f t="shared" si="2"/>
        <v>ON TARGET</v>
      </c>
    </row>
    <row r="8" spans="1:8" x14ac:dyDescent="0.3">
      <c r="A8">
        <v>6400</v>
      </c>
      <c r="B8" t="s">
        <v>29</v>
      </c>
      <c r="C8" s="9">
        <v>144000</v>
      </c>
      <c r="D8" s="9">
        <v>144000</v>
      </c>
      <c r="E8" s="9">
        <v>141230</v>
      </c>
      <c r="F8" s="18">
        <f t="shared" si="0"/>
        <v>-2770</v>
      </c>
      <c r="G8" s="20">
        <f t="shared" si="1"/>
        <v>-1.923611111111111E-2</v>
      </c>
      <c r="H8" s="15" t="str">
        <f t="shared" si="2"/>
        <v>ON TARGET</v>
      </c>
    </row>
    <row r="9" spans="1:8" x14ac:dyDescent="0.3">
      <c r="A9">
        <v>4500</v>
      </c>
      <c r="B9" t="s">
        <v>21</v>
      </c>
      <c r="C9" s="9">
        <v>1047000</v>
      </c>
      <c r="D9" s="9">
        <v>1047000</v>
      </c>
      <c r="E9" s="9">
        <v>1052100</v>
      </c>
      <c r="F9" s="18">
        <f t="shared" si="0"/>
        <v>5100</v>
      </c>
      <c r="G9" s="20">
        <f t="shared" si="1"/>
        <v>4.8710601719197709E-3</v>
      </c>
      <c r="H9" s="15" t="str">
        <f t="shared" si="2"/>
        <v>ON TARGET</v>
      </c>
    </row>
    <row r="10" spans="1:8" x14ac:dyDescent="0.3">
      <c r="A10">
        <v>5200</v>
      </c>
      <c r="B10" t="s">
        <v>228</v>
      </c>
      <c r="C10" s="9">
        <v>168000</v>
      </c>
      <c r="D10" s="9">
        <v>168000</v>
      </c>
      <c r="E10" s="9">
        <v>172800</v>
      </c>
      <c r="F10" s="18">
        <f t="shared" si="0"/>
        <v>4800</v>
      </c>
      <c r="G10" s="20">
        <f t="shared" si="1"/>
        <v>2.8571428571428571E-2</v>
      </c>
      <c r="H10" s="15" t="str">
        <f t="shared" si="2"/>
        <v>UNFAVORABLE</v>
      </c>
    </row>
    <row r="11" spans="1:8" x14ac:dyDescent="0.3">
      <c r="A11">
        <v>5300</v>
      </c>
      <c r="B11" t="s">
        <v>229</v>
      </c>
      <c r="C11" s="9">
        <v>114000</v>
      </c>
      <c r="D11" s="9">
        <v>114000</v>
      </c>
      <c r="E11" s="9">
        <v>115200</v>
      </c>
      <c r="F11" s="18">
        <f t="shared" si="0"/>
        <v>1200</v>
      </c>
      <c r="G11" s="20">
        <f t="shared" si="1"/>
        <v>1.0526315789473684E-2</v>
      </c>
      <c r="H11" s="15" t="str">
        <f t="shared" si="2"/>
        <v>ON TARGET</v>
      </c>
    </row>
    <row r="12" spans="1:8" x14ac:dyDescent="0.3">
      <c r="A12">
        <v>4200</v>
      </c>
      <c r="B12" t="s">
        <v>207</v>
      </c>
      <c r="C12" s="9">
        <v>204000</v>
      </c>
      <c r="D12" s="9">
        <v>204000</v>
      </c>
      <c r="E12" s="9">
        <v>205800</v>
      </c>
      <c r="F12" s="18">
        <f t="shared" si="0"/>
        <v>1800</v>
      </c>
      <c r="G12" s="20">
        <f t="shared" si="1"/>
        <v>8.8235294117647058E-3</v>
      </c>
      <c r="H12" s="15" t="str">
        <f t="shared" si="2"/>
        <v>ON TARGET</v>
      </c>
    </row>
    <row r="13" spans="1:8" s="1" customFormat="1" x14ac:dyDescent="0.3">
      <c r="A13" s="1" t="s">
        <v>32</v>
      </c>
      <c r="C13" s="12">
        <f>SUM(C5:C12)</f>
        <v>11787000</v>
      </c>
      <c r="D13" s="12">
        <f t="shared" ref="D13:E13" si="3">SUM(D5:D12)</f>
        <v>11787000</v>
      </c>
      <c r="E13" s="12">
        <f t="shared" si="3"/>
        <v>11889830</v>
      </c>
      <c r="F13" s="19">
        <f t="shared" si="0"/>
        <v>102830</v>
      </c>
      <c r="G13" s="21">
        <f t="shared" si="1"/>
        <v>8.7240179859166874E-3</v>
      </c>
      <c r="H13" s="17" t="str">
        <f>IF(ABS(Table19[[#This Row],[Variance %]])&lt;=3%,"ON TRACK","VARIANCE")</f>
        <v>ON TRACK</v>
      </c>
    </row>
    <row r="15" spans="1:8" x14ac:dyDescent="0.3">
      <c r="A15" t="s">
        <v>230</v>
      </c>
      <c r="B15" t="s">
        <v>231</v>
      </c>
      <c r="C15" t="s">
        <v>232</v>
      </c>
      <c r="D15" t="s">
        <v>233</v>
      </c>
    </row>
    <row r="16" spans="1:8" x14ac:dyDescent="0.3">
      <c r="A16" t="str">
        <f>B5</f>
        <v>Direct Labor</v>
      </c>
      <c r="B16" s="18">
        <f>F5</f>
        <v>-32500</v>
      </c>
      <c r="C16" s="15"/>
      <c r="D16" s="15">
        <f>SUM(Table20[[#This Row],[Favorable]:[Unfavorable]])</f>
        <v>-32500</v>
      </c>
    </row>
    <row r="17" spans="1:4" x14ac:dyDescent="0.3">
      <c r="A17" t="str">
        <f>B6</f>
        <v>Raw Materials</v>
      </c>
      <c r="B17" s="15"/>
      <c r="C17" s="18">
        <f>F6</f>
        <v>125200</v>
      </c>
      <c r="D17" s="15">
        <f>SUM(Table20[[#This Row],[Favorable]:[Unfavorable]])</f>
        <v>125200</v>
      </c>
    </row>
    <row r="18" spans="1:4" x14ac:dyDescent="0.3">
      <c r="A18" t="s">
        <v>235</v>
      </c>
      <c r="B18" s="15"/>
      <c r="C18" s="18">
        <f>SUM(F9:F12)</f>
        <v>12900</v>
      </c>
      <c r="D18" s="15">
        <f>SUM(Table20[[#This Row],[Favorable]:[Unfavorable]])</f>
        <v>12900</v>
      </c>
    </row>
  </sheetData>
  <mergeCells count="1"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A242-B480-4681-AF7A-3F44BBFCAB26}">
  <dimension ref="A1:H31"/>
  <sheetViews>
    <sheetView topLeftCell="A8" workbookViewId="0">
      <selection activeCell="C11" sqref="C11"/>
    </sheetView>
  </sheetViews>
  <sheetFormatPr defaultRowHeight="14.4" x14ac:dyDescent="0.3"/>
  <cols>
    <col min="1" max="1" width="27.5546875" bestFit="1" customWidth="1"/>
    <col min="2" max="2" width="12.77734375" bestFit="1" customWidth="1"/>
    <col min="3" max="3" width="10" bestFit="1" customWidth="1"/>
    <col min="4" max="4" width="12" bestFit="1" customWidth="1"/>
    <col min="5" max="5" width="20.44140625" bestFit="1" customWidth="1"/>
    <col min="6" max="6" width="19.109375" bestFit="1" customWidth="1"/>
  </cols>
  <sheetData>
    <row r="1" spans="1:8" x14ac:dyDescent="0.3">
      <c r="A1" s="30" t="s">
        <v>236</v>
      </c>
      <c r="B1" s="34"/>
      <c r="C1" s="34"/>
      <c r="D1" s="34"/>
      <c r="E1" s="34"/>
      <c r="F1" s="34"/>
      <c r="G1" s="34"/>
      <c r="H1" s="34"/>
    </row>
    <row r="2" spans="1:8" x14ac:dyDescent="0.3">
      <c r="A2" s="1" t="s">
        <v>237</v>
      </c>
    </row>
    <row r="4" spans="1:8" x14ac:dyDescent="0.3">
      <c r="A4" t="s">
        <v>199</v>
      </c>
      <c r="B4" t="s">
        <v>238</v>
      </c>
      <c r="C4" t="s">
        <v>239</v>
      </c>
      <c r="D4" t="s">
        <v>240</v>
      </c>
      <c r="E4" t="s">
        <v>241</v>
      </c>
      <c r="F4" t="s">
        <v>242</v>
      </c>
    </row>
    <row r="5" spans="1:8" x14ac:dyDescent="0.3">
      <c r="A5" t="s">
        <v>140</v>
      </c>
      <c r="B5">
        <v>576000</v>
      </c>
      <c r="C5" s="16">
        <v>2.5000000000000001E-2</v>
      </c>
      <c r="D5">
        <f t="shared" ref="D5:D10" si="0">B5*3*(1+C5)</f>
        <v>1771199.9999999998</v>
      </c>
      <c r="E5" t="s">
        <v>243</v>
      </c>
      <c r="F5" t="s">
        <v>244</v>
      </c>
    </row>
    <row r="6" spans="1:8" x14ac:dyDescent="0.3">
      <c r="A6" t="s">
        <v>206</v>
      </c>
      <c r="B6">
        <v>237500</v>
      </c>
      <c r="C6" s="16">
        <v>0.01</v>
      </c>
      <c r="D6">
        <f t="shared" si="0"/>
        <v>719625</v>
      </c>
      <c r="E6" t="s">
        <v>245</v>
      </c>
      <c r="F6" t="s">
        <v>246</v>
      </c>
    </row>
    <row r="7" spans="1:8" x14ac:dyDescent="0.3">
      <c r="A7" t="s">
        <v>247</v>
      </c>
      <c r="B7">
        <v>87250</v>
      </c>
      <c r="C7" s="16">
        <v>1.4999999999999999E-2</v>
      </c>
      <c r="D7">
        <f t="shared" si="0"/>
        <v>265676.25</v>
      </c>
      <c r="E7" t="s">
        <v>248</v>
      </c>
      <c r="F7" t="s">
        <v>249</v>
      </c>
    </row>
    <row r="8" spans="1:8" x14ac:dyDescent="0.3">
      <c r="A8" t="s">
        <v>207</v>
      </c>
      <c r="B8">
        <v>13450</v>
      </c>
      <c r="C8" s="16">
        <v>0.03</v>
      </c>
      <c r="D8">
        <f t="shared" si="0"/>
        <v>41560.5</v>
      </c>
      <c r="E8" t="s">
        <v>250</v>
      </c>
      <c r="F8" t="s">
        <v>251</v>
      </c>
    </row>
    <row r="9" spans="1:8" x14ac:dyDescent="0.3">
      <c r="A9" t="s">
        <v>29</v>
      </c>
      <c r="B9">
        <v>11655</v>
      </c>
      <c r="C9" s="16">
        <v>0</v>
      </c>
      <c r="D9">
        <f t="shared" si="0"/>
        <v>34965</v>
      </c>
      <c r="E9" t="s">
        <v>252</v>
      </c>
      <c r="F9" t="s">
        <v>253</v>
      </c>
    </row>
    <row r="10" spans="1:8" x14ac:dyDescent="0.3">
      <c r="A10" t="s">
        <v>208</v>
      </c>
      <c r="B10">
        <v>14075</v>
      </c>
      <c r="C10" s="16">
        <v>0.05</v>
      </c>
      <c r="D10">
        <f t="shared" si="0"/>
        <v>44336.25</v>
      </c>
      <c r="E10" t="s">
        <v>254</v>
      </c>
      <c r="F10" t="s">
        <v>255</v>
      </c>
    </row>
    <row r="13" spans="1:8" x14ac:dyDescent="0.3">
      <c r="A13" t="s">
        <v>256</v>
      </c>
      <c r="B13" t="s">
        <v>140</v>
      </c>
      <c r="C13" t="s">
        <v>234</v>
      </c>
      <c r="D13" t="s">
        <v>257</v>
      </c>
      <c r="E13" t="s">
        <v>32</v>
      </c>
    </row>
    <row r="14" spans="1:8" x14ac:dyDescent="0.3">
      <c r="A14" t="s">
        <v>258</v>
      </c>
      <c r="B14" s="15">
        <f>B5*(1+C5)</f>
        <v>590400</v>
      </c>
      <c r="C14" s="15">
        <f>B6*(1+C6)</f>
        <v>239875</v>
      </c>
      <c r="D14" s="15">
        <f>B7*(1+C7)</f>
        <v>88558.749999999985</v>
      </c>
      <c r="E14" s="15">
        <f>SUM(Table22[[#This Row],[Raw Materials]:[OH]])</f>
        <v>918833.75</v>
      </c>
    </row>
    <row r="15" spans="1:8" x14ac:dyDescent="0.3">
      <c r="A15" t="s">
        <v>259</v>
      </c>
      <c r="B15" s="15">
        <f>B5*(1+C5)*1.05</f>
        <v>619920</v>
      </c>
      <c r="C15" s="15">
        <f>B6*(1+C6)*1.05</f>
        <v>251868.75</v>
      </c>
      <c r="D15" s="15">
        <f>B7*(1+C7)*1.05</f>
        <v>92986.687499999985</v>
      </c>
      <c r="E15" s="15">
        <f>SUM(Table22[[#This Row],[Raw Materials]:[OH]])</f>
        <v>964775.4375</v>
      </c>
    </row>
    <row r="16" spans="1:8" x14ac:dyDescent="0.3">
      <c r="A16" t="s">
        <v>260</v>
      </c>
      <c r="B16" s="15">
        <f>B5*(1+C5)*1.08</f>
        <v>637632</v>
      </c>
      <c r="C16" s="15">
        <f>B6*(1+C6)*1.08</f>
        <v>259065.00000000003</v>
      </c>
      <c r="D16" s="15">
        <f>B7*(1+C7)*1.08</f>
        <v>95643.45</v>
      </c>
      <c r="E16" s="15">
        <f>SUM(Table22[[#This Row],[Raw Materials]:[OH]])</f>
        <v>992340.45</v>
      </c>
    </row>
    <row r="17" spans="1:5" x14ac:dyDescent="0.3">
      <c r="A17" t="s">
        <v>261</v>
      </c>
      <c r="B17" s="15">
        <f>SUM(B14:B16)</f>
        <v>1847952</v>
      </c>
      <c r="C17" s="15">
        <f t="shared" ref="C17:D17" si="1">SUM(C14:C16)</f>
        <v>750808.75</v>
      </c>
      <c r="D17" s="15">
        <f t="shared" si="1"/>
        <v>277188.88749999995</v>
      </c>
      <c r="E17" s="15">
        <f>SUM(Table22[[#This Row],[Raw Materials]:[OH]])</f>
        <v>2875949.6375000002</v>
      </c>
    </row>
    <row r="20" spans="1:5" s="1" customFormat="1" x14ac:dyDescent="0.3">
      <c r="A20" s="1" t="s">
        <v>262</v>
      </c>
      <c r="B20" s="17">
        <f>SUM(D5:D10)</f>
        <v>2877363</v>
      </c>
    </row>
    <row r="21" spans="1:5" x14ac:dyDescent="0.3">
      <c r="B21" s="15"/>
    </row>
    <row r="22" spans="1:5" x14ac:dyDescent="0.3">
      <c r="A22" t="s">
        <v>263</v>
      </c>
      <c r="B22" s="15"/>
    </row>
    <row r="23" spans="1:5" x14ac:dyDescent="0.3">
      <c r="A23" t="s">
        <v>264</v>
      </c>
      <c r="B23" s="15"/>
    </row>
    <row r="24" spans="1:5" x14ac:dyDescent="0.3">
      <c r="A24" t="s">
        <v>265</v>
      </c>
      <c r="B24" s="15">
        <f>D5*0.05</f>
        <v>88560</v>
      </c>
    </row>
    <row r="25" spans="1:5" x14ac:dyDescent="0.3">
      <c r="B25" s="15"/>
    </row>
    <row r="26" spans="1:5" x14ac:dyDescent="0.3">
      <c r="A26" t="s">
        <v>266</v>
      </c>
      <c r="B26" s="15"/>
    </row>
    <row r="27" spans="1:5" x14ac:dyDescent="0.3">
      <c r="A27" t="s">
        <v>267</v>
      </c>
      <c r="B27" s="15">
        <f>D6*0.03</f>
        <v>21588.75</v>
      </c>
    </row>
    <row r="28" spans="1:5" x14ac:dyDescent="0.3">
      <c r="A28" t="s">
        <v>268</v>
      </c>
      <c r="B28" s="15">
        <f>D7*0.03</f>
        <v>7970.2874999999995</v>
      </c>
    </row>
    <row r="29" spans="1:5" x14ac:dyDescent="0.3">
      <c r="B29" s="15"/>
    </row>
    <row r="30" spans="1:5" x14ac:dyDescent="0.3">
      <c r="A30" t="s">
        <v>269</v>
      </c>
      <c r="B30" s="15"/>
    </row>
    <row r="31" spans="1:5" x14ac:dyDescent="0.3">
      <c r="A31" t="s">
        <v>270</v>
      </c>
      <c r="B31" s="15">
        <f>(B5*2%)</f>
        <v>11520</v>
      </c>
    </row>
  </sheetData>
  <mergeCells count="1">
    <mergeCell ref="A1:H1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Journal Entries</vt:lpstr>
      <vt:lpstr> BANK RECONCILIATION</vt:lpstr>
      <vt:lpstr>INVENTORY AGING &amp; STOCKROOM RES</vt:lpstr>
      <vt:lpstr>GRIR &amp; AP RECONCILIATION</vt:lpstr>
      <vt:lpstr> FREIGHT EXPENSE TRACKING</vt:lpstr>
      <vt:lpstr>WEEKLY SPENDING REPORT</vt:lpstr>
      <vt:lpstr> BUDGET VS ACTUAL</vt:lpstr>
      <vt:lpstr>QUARTERLY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Kori</dc:creator>
  <cp:lastModifiedBy>Arjun Kori</cp:lastModifiedBy>
  <dcterms:created xsi:type="dcterms:W3CDTF">2026-01-13T23:31:55Z</dcterms:created>
  <dcterms:modified xsi:type="dcterms:W3CDTF">2026-01-15T23:57:44Z</dcterms:modified>
</cp:coreProperties>
</file>